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1570" windowHeight="10215"/>
  </bookViews>
  <sheets>
    <sheet name="SE-09-B2-001-A6-R00" sheetId="17" r:id="rId1"/>
  </sheets>
  <functionGroups builtInGroupCount="18"/>
  <definedNames>
    <definedName name="_xlnm.Print_Area" localSheetId="0">'SE-09-B2-001-A6-R00'!$B$3:$L$73</definedName>
    <definedName name="_xlnm.Print_Titles" localSheetId="0">'SE-09-B2-001-A6-R00'!$14:$15</definedName>
  </definedNames>
  <calcPr calcId="162913"/>
</workbook>
</file>

<file path=xl/calcChain.xml><?xml version="1.0" encoding="utf-8"?>
<calcChain xmlns="http://schemas.openxmlformats.org/spreadsheetml/2006/main">
  <c r="F73" i="17" l="1"/>
  <c r="H73" i="17" s="1"/>
  <c r="I73" i="17"/>
  <c r="J73" i="17" l="1"/>
  <c r="F56" i="17"/>
  <c r="H56" i="17" s="1"/>
  <c r="F57" i="17"/>
  <c r="F58" i="17"/>
  <c r="F59" i="17"/>
  <c r="F60" i="17"/>
  <c r="H60" i="17" s="1"/>
  <c r="J60" i="17" s="1"/>
  <c r="F61" i="17"/>
  <c r="F62" i="17"/>
  <c r="H62" i="17" s="1"/>
  <c r="J62" i="17" s="1"/>
  <c r="F63" i="17"/>
  <c r="H63" i="17" s="1"/>
  <c r="F64" i="17"/>
  <c r="H64" i="17" s="1"/>
  <c r="F65" i="17"/>
  <c r="F66" i="17"/>
  <c r="F67" i="17"/>
  <c r="H67" i="17" s="1"/>
  <c r="F68" i="17"/>
  <c r="H68" i="17" s="1"/>
  <c r="J68" i="17" s="1"/>
  <c r="F69" i="17"/>
  <c r="F70" i="17"/>
  <c r="H70" i="17" s="1"/>
  <c r="F71" i="17"/>
  <c r="H71" i="17" s="1"/>
  <c r="F72" i="17"/>
  <c r="I56" i="17"/>
  <c r="H57" i="17"/>
  <c r="I57" i="17"/>
  <c r="H58" i="17"/>
  <c r="I58" i="17"/>
  <c r="H59" i="17"/>
  <c r="I59" i="17"/>
  <c r="I60" i="17"/>
  <c r="H61" i="17"/>
  <c r="I61" i="17"/>
  <c r="I62" i="17"/>
  <c r="I63" i="17"/>
  <c r="I64" i="17"/>
  <c r="H65" i="17"/>
  <c r="I65" i="17"/>
  <c r="H66" i="17"/>
  <c r="I66" i="17"/>
  <c r="I67" i="17"/>
  <c r="I68" i="17"/>
  <c r="H69" i="17"/>
  <c r="J69" i="17" s="1"/>
  <c r="I69" i="17"/>
  <c r="I70" i="17"/>
  <c r="I71" i="17"/>
  <c r="H72" i="17"/>
  <c r="I72" i="17"/>
  <c r="J72" i="17" s="1"/>
  <c r="I40" i="17"/>
  <c r="H41" i="17"/>
  <c r="J41" i="17" s="1"/>
  <c r="I41" i="17"/>
  <c r="H42" i="17"/>
  <c r="I42" i="17"/>
  <c r="I43" i="17"/>
  <c r="I44" i="17"/>
  <c r="I45" i="17"/>
  <c r="H46" i="17"/>
  <c r="I46" i="17"/>
  <c r="I47" i="17"/>
  <c r="I48" i="17"/>
  <c r="H49" i="17"/>
  <c r="J49" i="17" s="1"/>
  <c r="I49" i="17"/>
  <c r="H50" i="17"/>
  <c r="I50" i="17"/>
  <c r="I51" i="17"/>
  <c r="I52" i="17"/>
  <c r="I53" i="17"/>
  <c r="H54" i="17"/>
  <c r="I54" i="17"/>
  <c r="I55" i="17"/>
  <c r="F40" i="17"/>
  <c r="H40" i="17" s="1"/>
  <c r="F41" i="17"/>
  <c r="F42" i="17"/>
  <c r="F43" i="17"/>
  <c r="H43" i="17" s="1"/>
  <c r="F44" i="17"/>
  <c r="H44" i="17" s="1"/>
  <c r="F45" i="17"/>
  <c r="H45" i="17" s="1"/>
  <c r="J45" i="17" s="1"/>
  <c r="F46" i="17"/>
  <c r="F47" i="17"/>
  <c r="H47" i="17" s="1"/>
  <c r="F48" i="17"/>
  <c r="H48" i="17" s="1"/>
  <c r="F49" i="17"/>
  <c r="F50" i="17"/>
  <c r="F51" i="17"/>
  <c r="H51" i="17" s="1"/>
  <c r="F52" i="17"/>
  <c r="H52" i="17" s="1"/>
  <c r="F53" i="17"/>
  <c r="H53" i="17" s="1"/>
  <c r="J53" i="17" s="1"/>
  <c r="F54" i="17"/>
  <c r="F55" i="17"/>
  <c r="H55" i="17" s="1"/>
  <c r="F39" i="17"/>
  <c r="H39" i="17" s="1"/>
  <c r="I39" i="17"/>
  <c r="F38" i="17"/>
  <c r="H38" i="17" s="1"/>
  <c r="I38" i="17"/>
  <c r="F37" i="17"/>
  <c r="H37" i="17" s="1"/>
  <c r="I37" i="17"/>
  <c r="I36" i="17"/>
  <c r="F36" i="17"/>
  <c r="H36" i="17" s="1"/>
  <c r="J36" i="17" s="1"/>
  <c r="F35" i="17"/>
  <c r="H35" i="17" s="1"/>
  <c r="I35" i="17"/>
  <c r="J61" i="17" l="1"/>
  <c r="J71" i="17"/>
  <c r="J63" i="17"/>
  <c r="J50" i="17"/>
  <c r="J42" i="17"/>
  <c r="J70" i="17"/>
  <c r="J35" i="17"/>
  <c r="J38" i="17"/>
  <c r="J67" i="17"/>
  <c r="J39" i="17"/>
  <c r="J52" i="17"/>
  <c r="J48" i="17"/>
  <c r="J44" i="17"/>
  <c r="J40" i="17"/>
  <c r="J37" i="17"/>
  <c r="J51" i="17"/>
  <c r="J43" i="17"/>
  <c r="J56" i="17"/>
  <c r="J65" i="17"/>
  <c r="J54" i="17"/>
  <c r="J47" i="17"/>
  <c r="J46" i="17"/>
  <c r="J57" i="17"/>
  <c r="J66" i="17"/>
  <c r="J59" i="17"/>
  <c r="J58" i="17"/>
  <c r="J64" i="17"/>
  <c r="J55" i="17"/>
  <c r="I34" i="17"/>
  <c r="F34" i="17"/>
  <c r="H34" i="17" s="1"/>
  <c r="I33" i="17"/>
  <c r="F33" i="17"/>
  <c r="H33" i="17" s="1"/>
  <c r="I32" i="17"/>
  <c r="F32" i="17"/>
  <c r="H32" i="17" s="1"/>
  <c r="I31" i="17"/>
  <c r="F31" i="17"/>
  <c r="H31" i="17" s="1"/>
  <c r="I30" i="17"/>
  <c r="F30" i="17"/>
  <c r="H30" i="17" s="1"/>
  <c r="I29" i="17"/>
  <c r="F29" i="17"/>
  <c r="H29" i="17" s="1"/>
  <c r="I28" i="17"/>
  <c r="F28" i="17"/>
  <c r="H28" i="17" s="1"/>
  <c r="I27" i="17"/>
  <c r="F27" i="17"/>
  <c r="H27" i="17" s="1"/>
  <c r="I26" i="17"/>
  <c r="F26" i="17"/>
  <c r="H26" i="17" s="1"/>
  <c r="I25" i="17"/>
  <c r="F25" i="17"/>
  <c r="H25" i="17" s="1"/>
  <c r="I24" i="17"/>
  <c r="F24" i="17"/>
  <c r="H24" i="17" s="1"/>
  <c r="I23" i="17"/>
  <c r="F23" i="17"/>
  <c r="H23" i="17" s="1"/>
  <c r="I22" i="17"/>
  <c r="F22" i="17"/>
  <c r="H22" i="17" s="1"/>
  <c r="I21" i="17"/>
  <c r="F21" i="17"/>
  <c r="H21" i="17" s="1"/>
  <c r="I20" i="17"/>
  <c r="F20" i="17"/>
  <c r="H20" i="17" s="1"/>
  <c r="I19" i="17"/>
  <c r="F19" i="17"/>
  <c r="H19" i="17" s="1"/>
  <c r="I18" i="17"/>
  <c r="F18" i="17"/>
  <c r="H18" i="17" s="1"/>
  <c r="I17" i="17"/>
  <c r="F17" i="17"/>
  <c r="H17" i="17" s="1"/>
  <c r="I16" i="17"/>
  <c r="F16" i="17"/>
  <c r="H16" i="17" s="1"/>
  <c r="J16" i="17" l="1"/>
  <c r="J20" i="17"/>
  <c r="J24" i="17"/>
  <c r="J28" i="17"/>
  <c r="J32" i="17"/>
  <c r="J18" i="17"/>
  <c r="J22" i="17"/>
  <c r="J26" i="17"/>
  <c r="J30" i="17"/>
  <c r="J34" i="17"/>
  <c r="J17" i="17"/>
  <c r="J21" i="17"/>
  <c r="J25" i="17"/>
  <c r="J29" i="17"/>
  <c r="J33" i="17"/>
  <c r="J19" i="17"/>
  <c r="J23" i="17"/>
  <c r="J27" i="17"/>
  <c r="J31" i="17"/>
  <c r="C13" i="17"/>
  <c r="D13" i="17" l="1"/>
  <c r="G13" i="17" l="1"/>
  <c r="H13" i="17"/>
  <c r="F13" i="17" l="1"/>
  <c r="I13" i="17" l="1"/>
  <c r="J13" i="17" l="1"/>
  <c r="E13" i="17" l="1"/>
  <c r="K13" i="17"/>
</calcChain>
</file>

<file path=xl/sharedStrings.xml><?xml version="1.0" encoding="utf-8"?>
<sst xmlns="http://schemas.openxmlformats.org/spreadsheetml/2006/main" count="58" uniqueCount="40">
  <si>
    <t>BAR MARK NO.</t>
  </si>
  <si>
    <t>DIA.
(mm)</t>
  </si>
  <si>
    <t>UNITARY 
LENGTH
(m)</t>
  </si>
  <si>
    <t>TOTAL
LENGTH
(m)</t>
  </si>
  <si>
    <t>NOTES</t>
  </si>
  <si>
    <t>SHAPE OVERALL DIMENSIONS  (m)</t>
  </si>
  <si>
    <t>LOCATION:</t>
  </si>
  <si>
    <t>REFER. DWG.</t>
  </si>
  <si>
    <t>Shape Code</t>
  </si>
  <si>
    <t>A</t>
  </si>
  <si>
    <t>B</t>
  </si>
  <si>
    <t>C</t>
  </si>
  <si>
    <t>D</t>
  </si>
  <si>
    <t>E</t>
  </si>
  <si>
    <t>F</t>
  </si>
  <si>
    <t>G</t>
  </si>
  <si>
    <t>DIA OF BEND</t>
  </si>
  <si>
    <t>BAR DIA (mm)</t>
  </si>
  <si>
    <t>NO.
(BARS)</t>
  </si>
  <si>
    <t>TOTAL NO.
 (BARS)</t>
  </si>
  <si>
    <t>QTY. (ELEMENTS)</t>
  </si>
  <si>
    <t>QTY (Kg)</t>
  </si>
  <si>
    <t xml:space="preserve"> TOTAL WEIGHT ( Kg )</t>
  </si>
  <si>
    <t>UNIT WEIGHT
(Kg/1m)</t>
  </si>
  <si>
    <t>WEIGHT
(Kg)</t>
  </si>
  <si>
    <t xml:space="preserve">BAR BENDING SCHEDULE </t>
  </si>
  <si>
    <r>
      <rPr>
        <i/>
        <sz val="16"/>
        <color indexed="8"/>
        <rFont val="Arial"/>
        <family val="2"/>
      </rPr>
      <t>PROJECT</t>
    </r>
    <r>
      <rPr>
        <i/>
        <sz val="16"/>
        <color indexed="8"/>
        <rFont val="Calibri"/>
        <family val="2"/>
        <scheme val="minor"/>
      </rPr>
      <t xml:space="preserve"> </t>
    </r>
    <r>
      <rPr>
        <i/>
        <sz val="16"/>
        <color indexed="8"/>
        <rFont val="Calibri"/>
        <family val="2"/>
      </rPr>
      <t xml:space="preserve">: </t>
    </r>
    <r>
      <rPr>
        <b/>
        <i/>
        <sz val="16"/>
        <color rgb="FFFF0000"/>
        <rFont val="Calibri"/>
        <family val="2"/>
      </rPr>
      <t>KING ABDUL AZIZ ROAD PROJECT</t>
    </r>
  </si>
  <si>
    <r>
      <rPr>
        <i/>
        <sz val="16"/>
        <color indexed="8"/>
        <rFont val="Arial"/>
        <family val="2"/>
      </rPr>
      <t>ELEMENT TYPE</t>
    </r>
    <r>
      <rPr>
        <i/>
        <sz val="16"/>
        <color indexed="8"/>
        <rFont val="Calibri"/>
        <family val="2"/>
      </rPr>
      <t xml:space="preserve">: </t>
    </r>
    <r>
      <rPr>
        <i/>
        <sz val="16"/>
        <color rgb="FFFF0000"/>
        <rFont val="Calibri"/>
        <family val="2"/>
      </rPr>
      <t xml:space="preserve">  </t>
    </r>
    <r>
      <rPr>
        <b/>
        <i/>
        <sz val="16"/>
        <color rgb="FF0070C0"/>
        <rFont val="Calibri"/>
        <family val="2"/>
      </rPr>
      <t>BASE SLAB</t>
    </r>
  </si>
  <si>
    <r>
      <rPr>
        <i/>
        <sz val="16"/>
        <color indexed="8"/>
        <rFont val="Arial"/>
        <family val="2"/>
      </rPr>
      <t>MAIN CONTRACTOR</t>
    </r>
    <r>
      <rPr>
        <i/>
        <sz val="16"/>
        <color indexed="8"/>
        <rFont val="Calibri"/>
        <family val="2"/>
      </rPr>
      <t xml:space="preserve"> : </t>
    </r>
    <r>
      <rPr>
        <b/>
        <i/>
        <sz val="16"/>
        <color rgb="FFFF0000"/>
        <rFont val="Calibri"/>
        <family val="2"/>
      </rPr>
      <t>NESMA &amp; PARTNERS</t>
    </r>
  </si>
  <si>
    <r>
      <rPr>
        <i/>
        <sz val="16"/>
        <color indexed="8"/>
        <rFont val="Arial"/>
        <family val="2"/>
      </rPr>
      <t>BBS REV.</t>
    </r>
    <r>
      <rPr>
        <i/>
        <sz val="16"/>
        <color indexed="8"/>
        <rFont val="Calibri"/>
        <family val="2"/>
      </rPr>
      <t xml:space="preserve"> :                </t>
    </r>
    <r>
      <rPr>
        <i/>
        <sz val="16"/>
        <color rgb="FFFF0000"/>
        <rFont val="Calibri"/>
        <family val="2"/>
      </rPr>
      <t>00</t>
    </r>
  </si>
  <si>
    <r>
      <rPr>
        <i/>
        <sz val="16"/>
        <color indexed="8"/>
        <rFont val="Arial"/>
        <family val="2"/>
      </rPr>
      <t xml:space="preserve">OWNER    </t>
    </r>
    <r>
      <rPr>
        <i/>
        <sz val="16"/>
        <color indexed="8"/>
        <rFont val="Calibri"/>
        <family val="2"/>
      </rPr>
      <t xml:space="preserve">: </t>
    </r>
    <r>
      <rPr>
        <b/>
        <i/>
        <sz val="16"/>
        <color rgb="FFFF0000"/>
        <rFont val="Calibri"/>
        <family val="2"/>
      </rPr>
      <t>Umm Al Qura for Development &amp; Construction Company</t>
    </r>
  </si>
  <si>
    <r>
      <t xml:space="preserve">CAR PARK 2 / LEVEL - BF4 / ZONE 2 / PART 1 &amp; 2 / BASE SLAB REINFORCEMENT / 
</t>
    </r>
    <r>
      <rPr>
        <b/>
        <i/>
        <sz val="16"/>
        <color theme="3"/>
        <rFont val="Calibri"/>
        <family val="2"/>
      </rPr>
      <t xml:space="preserve">/ BOTTOM REINFORCEMENT LAYER B1 / </t>
    </r>
  </si>
  <si>
    <t>KAAR -NCP-PW-CS-CP2-BF4-SPD-STR-04015 &amp; KAAR-NCP-PW-CS-CP2-BF4-SPD-STR-04016</t>
  </si>
  <si>
    <r>
      <rPr>
        <i/>
        <sz val="16"/>
        <color indexed="8"/>
        <rFont val="Arial"/>
        <family val="2"/>
      </rPr>
      <t>Date</t>
    </r>
    <r>
      <rPr>
        <i/>
        <sz val="16"/>
        <color indexed="8"/>
        <rFont val="Calibri"/>
        <family val="2"/>
      </rPr>
      <t xml:space="preserve">:                           </t>
    </r>
    <r>
      <rPr>
        <i/>
        <sz val="16"/>
        <color rgb="FFFF0000"/>
        <rFont val="Calibri"/>
        <family val="2"/>
      </rPr>
      <t>12-04-2017</t>
    </r>
  </si>
  <si>
    <t>Group 1041</t>
  </si>
  <si>
    <t>Group 4737</t>
  </si>
  <si>
    <t>Group 4772</t>
  </si>
  <si>
    <t>Group 4806</t>
  </si>
  <si>
    <t>Group 5008</t>
  </si>
  <si>
    <t>Group 5218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</si>
</sst>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 Rounded MT Bold"/>
      <family val="2"/>
    </font>
    <font>
      <sz val="13"/>
      <color indexed="8"/>
      <name val="Calibri"/>
      <family val="2"/>
    </font>
    <font>
      <sz val="12"/>
      <name val="Arial"/>
      <family val="2"/>
    </font>
    <font>
      <sz val="11"/>
      <name val="Arial"/>
      <family val="2"/>
    </font>
    <font>
      <b/>
      <sz val="12"/>
      <name val="CopprplGoth Bd BT"/>
    </font>
    <font>
      <b/>
      <sz val="12"/>
      <color theme="9" tint="-0.499984740745262"/>
      <name val="CopprplGoth Bd BT"/>
    </font>
    <font>
      <b/>
      <sz val="12"/>
      <color rgb="FFFF0000"/>
      <name val="CopprplGoth Bd BT"/>
    </font>
    <font>
      <sz val="12"/>
      <color theme="9" tint="-0.499984740745262"/>
      <name val="Arial"/>
      <family val="2"/>
    </font>
    <font>
      <b/>
      <sz val="12"/>
      <name val="Arial"/>
      <family val="2"/>
    </font>
    <font>
      <sz val="12"/>
      <name val="CopprplGoth Bd BT"/>
      <family val="2"/>
    </font>
    <font>
      <sz val="12"/>
      <color rgb="FFFF0000"/>
      <name val="CopprplGoth Bd BT"/>
      <family val="2"/>
    </font>
    <font>
      <b/>
      <i/>
      <sz val="16"/>
      <color rgb="FFFF0000"/>
      <name val="Calibri"/>
      <family val="2"/>
    </font>
    <font>
      <b/>
      <i/>
      <sz val="16"/>
      <color rgb="FF0070C0"/>
      <name val="Calibri"/>
      <family val="2"/>
    </font>
    <font>
      <sz val="11"/>
      <color rgb="FF000000"/>
      <name val="Calibri"/>
      <family val="2"/>
    </font>
    <font>
      <b/>
      <i/>
      <sz val="13"/>
      <color theme="3" tint="-0.249977111117893"/>
      <name val="Calibri"/>
      <family val="2"/>
    </font>
    <font>
      <b/>
      <sz val="11"/>
      <name val="CopprplGoth Bd BT"/>
    </font>
    <font>
      <b/>
      <i/>
      <sz val="16"/>
      <name val="Calibri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6"/>
      <color rgb="FFFF0000"/>
      <name val="Calibri"/>
      <family val="2"/>
    </font>
    <font>
      <b/>
      <i/>
      <sz val="28"/>
      <color theme="1"/>
      <name val="Calibri"/>
      <family val="2"/>
      <scheme val="minor"/>
    </font>
    <font>
      <b/>
      <i/>
      <sz val="20"/>
      <color theme="3" tint="-0.249977111117893"/>
      <name val="Calibri"/>
      <family val="2"/>
    </font>
    <font>
      <b/>
      <i/>
      <sz val="20"/>
      <color theme="6" tint="-0.499984740745262"/>
      <name val="Calibri"/>
      <family val="2"/>
    </font>
    <font>
      <b/>
      <i/>
      <sz val="20"/>
      <color rgb="FFFF0000"/>
      <name val="Arial"/>
      <family val="2"/>
    </font>
    <font>
      <b/>
      <i/>
      <sz val="16"/>
      <color theme="3" tint="-0.249977111117893"/>
      <name val="Calibri"/>
      <family val="2"/>
    </font>
    <font>
      <b/>
      <i/>
      <sz val="16"/>
      <color theme="3"/>
      <name val="Calibri"/>
      <family val="2"/>
    </font>
    <font>
      <i/>
      <sz val="16"/>
      <color indexed="8"/>
      <name val="Calibri"/>
      <family val="2"/>
    </font>
    <font>
      <i/>
      <sz val="16"/>
      <color indexed="8"/>
      <name val="Arial"/>
      <family val="2"/>
    </font>
    <font>
      <i/>
      <sz val="16"/>
      <color indexed="8"/>
      <name val="Calibri"/>
      <family val="2"/>
      <scheme val="minor"/>
    </font>
    <font>
      <sz val="16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Protection="1">
      <protection locked="0"/>
    </xf>
    <xf numFmtId="0" fontId="0" fillId="0" borderId="0" xfId="0" applyFont="1" applyProtection="1">
      <protection locked="0"/>
    </xf>
    <xf numFmtId="0" fontId="0" fillId="0" borderId="0" xfId="0" applyFill="1" applyProtection="1">
      <protection locked="0"/>
    </xf>
    <xf numFmtId="0" fontId="1" fillId="3" borderId="1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quotePrefix="1" applyBorder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 wrapText="1"/>
      <protection locked="0"/>
    </xf>
    <xf numFmtId="0" fontId="6" fillId="3" borderId="31" xfId="0" applyFont="1" applyFill="1" applyBorder="1" applyAlignment="1" applyProtection="1">
      <alignment horizontal="center" vertical="center" wrapText="1"/>
    </xf>
    <xf numFmtId="0" fontId="7" fillId="3" borderId="32" xfId="0" applyFont="1" applyFill="1" applyBorder="1" applyAlignment="1" applyProtection="1">
      <alignment horizontal="center" vertical="center" wrapText="1"/>
    </xf>
    <xf numFmtId="0" fontId="6" fillId="3" borderId="32" xfId="0" applyFont="1" applyFill="1" applyBorder="1" applyAlignment="1" applyProtection="1">
      <alignment horizontal="center" vertical="center" wrapText="1"/>
    </xf>
    <xf numFmtId="0" fontId="8" fillId="3" borderId="32" xfId="0" applyFont="1" applyFill="1" applyBorder="1" applyAlignment="1" applyProtection="1">
      <alignment horizontal="center" vertical="center" wrapText="1"/>
    </xf>
    <xf numFmtId="0" fontId="6" fillId="3" borderId="33" xfId="0" applyFont="1" applyFill="1" applyBorder="1" applyAlignment="1" applyProtection="1">
      <alignment horizontal="center" vertical="center" wrapText="1"/>
    </xf>
    <xf numFmtId="0" fontId="17" fillId="3" borderId="32" xfId="0" applyFont="1" applyFill="1" applyBorder="1" applyAlignment="1" applyProtection="1">
      <alignment horizontal="center" vertical="center" wrapText="1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20" fillId="0" borderId="1" xfId="0" applyFont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protection locked="0"/>
    </xf>
    <xf numFmtId="0" fontId="3" fillId="0" borderId="30" xfId="0" applyFont="1" applyBorder="1" applyAlignment="1" applyProtection="1">
      <protection locked="0"/>
    </xf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4" fillId="6" borderId="6" xfId="0" applyFont="1" applyFill="1" applyBorder="1" applyAlignment="1" applyProtection="1">
      <alignment horizontal="center" vertical="center" wrapText="1"/>
    </xf>
    <xf numFmtId="2" fontId="10" fillId="6" borderId="6" xfId="0" applyNumberFormat="1" applyFont="1" applyFill="1" applyBorder="1" applyAlignment="1" applyProtection="1">
      <alignment horizontal="center" vertical="center"/>
    </xf>
    <xf numFmtId="0" fontId="11" fillId="6" borderId="6" xfId="0" quotePrefix="1" applyFont="1" applyFill="1" applyBorder="1" applyAlignment="1" applyProtection="1">
      <alignment horizontal="center" vertical="center" wrapText="1"/>
    </xf>
    <xf numFmtId="0" fontId="12" fillId="6" borderId="6" xfId="0" quotePrefix="1" applyFont="1" applyFill="1" applyBorder="1" applyAlignment="1" applyProtection="1">
      <alignment horizontal="center" vertical="center" wrapText="1"/>
    </xf>
    <xf numFmtId="4" fontId="10" fillId="6" borderId="1" xfId="0" applyNumberFormat="1" applyFont="1" applyFill="1" applyBorder="1" applyAlignment="1" applyProtection="1">
      <alignment horizontal="center" vertical="center"/>
    </xf>
    <xf numFmtId="0" fontId="23" fillId="3" borderId="35" xfId="0" applyFont="1" applyFill="1" applyBorder="1" applyAlignment="1" applyProtection="1">
      <alignment horizontal="center" vertical="center" wrapText="1"/>
    </xf>
    <xf numFmtId="0" fontId="23" fillId="3" borderId="8" xfId="0" applyFont="1" applyFill="1" applyBorder="1" applyAlignment="1" applyProtection="1">
      <alignment horizontal="center" vertical="center" wrapText="1"/>
    </xf>
    <xf numFmtId="0" fontId="24" fillId="3" borderId="35" xfId="0" applyFont="1" applyFill="1" applyBorder="1" applyAlignment="1" applyProtection="1">
      <alignment horizontal="center" vertical="center" wrapText="1"/>
    </xf>
    <xf numFmtId="0" fontId="24" fillId="3" borderId="8" xfId="0" applyFont="1" applyFill="1" applyBorder="1" applyAlignment="1" applyProtection="1">
      <alignment horizontal="center" vertical="center" wrapText="1"/>
    </xf>
    <xf numFmtId="0" fontId="26" fillId="3" borderId="9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2" fillId="0" borderId="37" xfId="0" applyFont="1" applyBorder="1" applyAlignment="1" applyProtection="1">
      <alignment horizontal="center" vertical="center"/>
      <protection locked="0"/>
    </xf>
    <xf numFmtId="0" fontId="18" fillId="3" borderId="34" xfId="0" applyFont="1" applyFill="1" applyBorder="1" applyAlignment="1" applyProtection="1">
      <alignment horizontal="center" vertical="center" wrapText="1"/>
    </xf>
    <xf numFmtId="0" fontId="18" fillId="3" borderId="12" xfId="0" applyFont="1" applyFill="1" applyBorder="1" applyAlignment="1" applyProtection="1">
      <alignment horizontal="center" vertical="center" wrapText="1"/>
    </xf>
    <xf numFmtId="4" fontId="25" fillId="3" borderId="34" xfId="0" applyNumberFormat="1" applyFont="1" applyFill="1" applyBorder="1" applyAlignment="1" applyProtection="1">
      <alignment horizontal="center" vertical="center" wrapText="1"/>
    </xf>
    <xf numFmtId="0" fontId="25" fillId="3" borderId="12" xfId="0" applyFont="1" applyFill="1" applyBorder="1" applyAlignment="1" applyProtection="1">
      <alignment horizontal="center" vertical="center" wrapText="1"/>
    </xf>
    <xf numFmtId="0" fontId="16" fillId="5" borderId="10" xfId="0" applyFont="1" applyFill="1" applyBorder="1" applyAlignment="1" applyProtection="1">
      <alignment horizontal="center" vertical="center" wrapText="1"/>
      <protection locked="0"/>
    </xf>
    <xf numFmtId="0" fontId="16" fillId="5" borderId="11" xfId="0" applyFont="1" applyFill="1" applyBorder="1" applyAlignment="1" applyProtection="1">
      <alignment horizontal="center" vertical="center" wrapText="1"/>
      <protection locked="0"/>
    </xf>
    <xf numFmtId="0" fontId="16" fillId="5" borderId="12" xfId="0" applyFont="1" applyFill="1" applyBorder="1" applyAlignment="1" applyProtection="1">
      <alignment horizontal="center" vertical="center" wrapText="1"/>
      <protection locked="0"/>
    </xf>
    <xf numFmtId="0" fontId="3" fillId="0" borderId="10" xfId="0" applyFont="1" applyBorder="1" applyAlignment="1" applyProtection="1">
      <alignment horizontal="left"/>
      <protection locked="0"/>
    </xf>
    <xf numFmtId="0" fontId="3" fillId="0" borderId="11" xfId="0" applyFont="1" applyBorder="1" applyAlignment="1" applyProtection="1">
      <alignment horizontal="left"/>
      <protection locked="0"/>
    </xf>
    <xf numFmtId="0" fontId="28" fillId="0" borderId="15" xfId="0" applyFont="1" applyBorder="1" applyAlignment="1" applyProtection="1">
      <alignment horizontal="left" vertical="center" indent="1"/>
    </xf>
    <xf numFmtId="0" fontId="28" fillId="0" borderId="16" xfId="0" applyFont="1" applyBorder="1" applyAlignment="1" applyProtection="1">
      <alignment horizontal="left" vertical="center" indent="1"/>
    </xf>
    <xf numFmtId="0" fontId="28" fillId="0" borderId="19" xfId="0" applyFont="1" applyBorder="1" applyAlignment="1" applyProtection="1">
      <alignment horizontal="left" vertical="center" indent="1"/>
    </xf>
    <xf numFmtId="0" fontId="28" fillId="0" borderId="20" xfId="0" applyFont="1" applyBorder="1" applyAlignment="1" applyProtection="1">
      <alignment horizontal="left" vertical="center" indent="1"/>
    </xf>
    <xf numFmtId="0" fontId="28" fillId="0" borderId="21" xfId="0" applyFont="1" applyBorder="1" applyAlignment="1" applyProtection="1">
      <alignment horizontal="left" vertical="center" indent="1"/>
    </xf>
    <xf numFmtId="0" fontId="28" fillId="0" borderId="24" xfId="0" applyFont="1" applyBorder="1" applyAlignment="1" applyProtection="1">
      <alignment horizontal="left" vertical="center" indent="1"/>
    </xf>
    <xf numFmtId="0" fontId="31" fillId="0" borderId="25" xfId="0" applyFont="1" applyBorder="1" applyAlignment="1" applyProtection="1">
      <alignment horizontal="left" vertical="center" indent="1"/>
    </xf>
    <xf numFmtId="0" fontId="31" fillId="0" borderId="4" xfId="0" applyFont="1" applyBorder="1" applyAlignment="1" applyProtection="1">
      <alignment horizontal="left" vertical="center" indent="1"/>
    </xf>
    <xf numFmtId="0" fontId="28" fillId="2" borderId="17" xfId="0" applyFont="1" applyFill="1" applyBorder="1" applyAlignment="1" applyProtection="1">
      <alignment horizontal="left" vertical="center" indent="1"/>
      <protection locked="0"/>
    </xf>
    <xf numFmtId="0" fontId="28" fillId="2" borderId="18" xfId="0" applyFont="1" applyFill="1" applyBorder="1" applyAlignment="1" applyProtection="1">
      <alignment horizontal="left" vertical="center" indent="1"/>
      <protection locked="0"/>
    </xf>
    <xf numFmtId="0" fontId="28" fillId="0" borderId="22" xfId="0" applyFont="1" applyBorder="1" applyAlignment="1" applyProtection="1">
      <alignment horizontal="left" vertical="center" indent="1"/>
      <protection locked="0"/>
    </xf>
    <xf numFmtId="0" fontId="28" fillId="0" borderId="23" xfId="0" applyFont="1" applyBorder="1" applyAlignment="1" applyProtection="1">
      <alignment horizontal="left" vertical="center" indent="1"/>
      <protection locked="0"/>
    </xf>
    <xf numFmtId="0" fontId="28" fillId="0" borderId="26" xfId="0" applyFont="1" applyBorder="1" applyAlignment="1" applyProtection="1">
      <alignment horizontal="left" vertical="center" indent="1"/>
      <protection locked="0"/>
    </xf>
    <xf numFmtId="0" fontId="28" fillId="0" borderId="27" xfId="0" applyFont="1" applyBorder="1" applyAlignment="1" applyProtection="1">
      <alignment horizontal="left" vertical="center" indent="1"/>
      <protection locked="0"/>
    </xf>
    <xf numFmtId="0" fontId="18" fillId="4" borderId="29" xfId="0" applyFont="1" applyFill="1" applyBorder="1" applyAlignment="1" applyProtection="1">
      <alignment horizontal="left" vertical="center" wrapText="1" indent="1"/>
      <protection locked="0"/>
    </xf>
    <xf numFmtId="0" fontId="18" fillId="4" borderId="16" xfId="0" applyFont="1" applyFill="1" applyBorder="1" applyAlignment="1" applyProtection="1">
      <alignment horizontal="left" vertical="center" wrapText="1" indent="1"/>
      <protection locked="0"/>
    </xf>
    <xf numFmtId="0" fontId="18" fillId="4" borderId="28" xfId="0" applyFont="1" applyFill="1" applyBorder="1" applyAlignment="1" applyProtection="1">
      <alignment horizontal="left" vertical="center" wrapText="1" indent="1"/>
      <protection locked="0"/>
    </xf>
    <xf numFmtId="0" fontId="13" fillId="4" borderId="15" xfId="0" applyFont="1" applyFill="1" applyBorder="1" applyAlignment="1" applyProtection="1">
      <alignment horizontal="left" vertical="center" indent="1"/>
    </xf>
    <xf numFmtId="0" fontId="13" fillId="4" borderId="28" xfId="0" applyFont="1" applyFill="1" applyBorder="1" applyAlignment="1" applyProtection="1">
      <alignment horizontal="left" vertical="center" indent="1"/>
    </xf>
    <xf numFmtId="0" fontId="13" fillId="4" borderId="13" xfId="0" applyFont="1" applyFill="1" applyBorder="1" applyAlignment="1" applyProtection="1">
      <alignment horizontal="left" vertical="center" indent="1"/>
    </xf>
    <xf numFmtId="0" fontId="13" fillId="4" borderId="14" xfId="0" applyFont="1" applyFill="1" applyBorder="1" applyAlignment="1" applyProtection="1">
      <alignment horizontal="left" vertical="center" indent="1"/>
    </xf>
    <xf numFmtId="0" fontId="13" fillId="4" borderId="2" xfId="0" applyFont="1" applyFill="1" applyBorder="1" applyAlignment="1" applyProtection="1">
      <alignment horizontal="left" vertical="center" indent="1"/>
    </xf>
    <xf numFmtId="0" fontId="13" fillId="4" borderId="3" xfId="0" applyFont="1" applyFill="1" applyBorder="1" applyAlignment="1" applyProtection="1">
      <alignment horizontal="left" vertical="center" indent="1"/>
    </xf>
    <xf numFmtId="0" fontId="18" fillId="4" borderId="13" xfId="0" applyFont="1" applyFill="1" applyBorder="1" applyAlignment="1" applyProtection="1">
      <alignment horizontal="left" vertical="center" wrapText="1" indent="1"/>
      <protection locked="0"/>
    </xf>
    <xf numFmtId="0" fontId="18" fillId="4" borderId="36" xfId="0" applyFont="1" applyFill="1" applyBorder="1" applyAlignment="1" applyProtection="1">
      <alignment horizontal="left" vertical="center" wrapText="1" indent="1"/>
      <protection locked="0"/>
    </xf>
    <xf numFmtId="0" fontId="18" fillId="4" borderId="14" xfId="0" applyFont="1" applyFill="1" applyBorder="1" applyAlignment="1" applyProtection="1">
      <alignment horizontal="left" vertical="center" wrapText="1" indent="1"/>
      <protection locked="0"/>
    </xf>
    <xf numFmtId="0" fontId="18" fillId="4" borderId="2" xfId="0" applyFont="1" applyFill="1" applyBorder="1" applyAlignment="1" applyProtection="1">
      <alignment horizontal="left" vertical="center" wrapText="1" indent="1"/>
      <protection locked="0"/>
    </xf>
    <xf numFmtId="0" fontId="18" fillId="4" borderId="37" xfId="0" applyFont="1" applyFill="1" applyBorder="1" applyAlignment="1" applyProtection="1">
      <alignment horizontal="left" vertical="center" wrapText="1" indent="1"/>
      <protection locked="0"/>
    </xf>
    <xf numFmtId="0" fontId="18" fillId="4" borderId="3" xfId="0" applyFont="1" applyFill="1" applyBorder="1" applyAlignment="1" applyProtection="1">
      <alignment horizontal="left" vertical="center" wrapText="1" indent="1"/>
      <protection locked="0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BFEAFD"/>
      <color rgb="FFD1FFE8"/>
      <color rgb="FFC1FFE0"/>
      <color rgb="FF99FFCC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7</xdr:row>
          <xdr:rowOff>19050</xdr:rowOff>
        </xdr:from>
        <xdr:to>
          <xdr:col>22</xdr:col>
          <xdr:colOff>9525</xdr:colOff>
          <xdr:row>8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8</xdr:row>
          <xdr:rowOff>438150</xdr:rowOff>
        </xdr:from>
        <xdr:to>
          <xdr:col>22</xdr:col>
          <xdr:colOff>9525</xdr:colOff>
          <xdr:row>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ReDraw All Shapes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444500</xdr:colOff>
      <xdr:row>15</xdr:row>
      <xdr:rowOff>431800</xdr:rowOff>
    </xdr:from>
    <xdr:to>
      <xdr:col>10</xdr:col>
      <xdr:colOff>1905000</xdr:colOff>
      <xdr:row>15</xdr:row>
      <xdr:rowOff>759214</xdr:rowOff>
    </xdr:to>
    <xdr:grpSp>
      <xdr:nvGrpSpPr>
        <xdr:cNvPr id="1042" name="Group 1041"/>
        <xdr:cNvGrpSpPr/>
      </xdr:nvGrpSpPr>
      <xdr:grpSpPr>
        <a:xfrm>
          <a:off x="8772071" y="6555014"/>
          <a:ext cx="1460500" cy="327414"/>
          <a:chOff x="8721725" y="6575425"/>
          <a:chExt cx="1460500" cy="327414"/>
        </a:xfrm>
      </xdr:grpSpPr>
      <xdr:cxnSp macro="">
        <xdr:nvCxnSpPr>
          <xdr:cNvPr id="1031" name="Straight Connector 1030"/>
          <xdr:cNvCxnSpPr/>
        </xdr:nvCxnSpPr>
        <xdr:spPr>
          <a:xfrm>
            <a:off x="8721725" y="6651625"/>
            <a:ext cx="1460500" cy="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036" name="Group 1035"/>
          <xdr:cNvGrpSpPr/>
        </xdr:nvGrpSpPr>
        <xdr:grpSpPr>
          <a:xfrm>
            <a:off x="8721725" y="6651625"/>
            <a:ext cx="1460500" cy="251214"/>
            <a:chOff x="8721725" y="6651625"/>
            <a:chExt cx="1460500" cy="251214"/>
          </a:xfrm>
        </xdr:grpSpPr>
        <xdr:cxnSp macro="">
          <xdr:nvCxnSpPr>
            <xdr:cNvPr id="1032" name="Straight Connector 1031"/>
            <xdr:cNvCxnSpPr/>
          </xdr:nvCxnSpPr>
          <xdr:spPr>
            <a:xfrm>
              <a:off x="8721725" y="6651625"/>
              <a:ext cx="0" cy="22860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33" name="Straight Connector 1032"/>
            <xdr:cNvCxnSpPr/>
          </xdr:nvCxnSpPr>
          <xdr:spPr>
            <a:xfrm>
              <a:off x="10182225" y="6651625"/>
              <a:ext cx="0" cy="22860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34" name="Straight Connector 1033"/>
            <xdr:cNvCxnSpPr/>
          </xdr:nvCxnSpPr>
          <xdr:spPr>
            <a:xfrm>
              <a:off x="8721725" y="6816725"/>
              <a:ext cx="1460500" cy="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35" name="TextBox 1034"/>
            <xdr:cNvSpPr txBox="1"/>
          </xdr:nvSpPr>
          <xdr:spPr>
            <a:xfrm>
              <a:off x="9411163" y="6730612"/>
              <a:ext cx="81624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A</a:t>
              </a:r>
            </a:p>
          </xdr:txBody>
        </xdr:sp>
      </xdr:grpSp>
      <xdr:cxnSp macro="">
        <xdr:nvCxnSpPr>
          <xdr:cNvPr id="1037" name="Straight Connector 1036"/>
          <xdr:cNvCxnSpPr/>
        </xdr:nvCxnSpPr>
        <xdr:spPr>
          <a:xfrm>
            <a:off x="8772525" y="6575425"/>
            <a:ext cx="0" cy="152400"/>
          </a:xfrm>
          <a:prstGeom prst="line">
            <a:avLst/>
          </a:prstGeom>
          <a:ln w="1905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8" name="Straight Connector 1037"/>
          <xdr:cNvCxnSpPr/>
        </xdr:nvCxnSpPr>
        <xdr:spPr>
          <a:xfrm>
            <a:off x="8823325" y="6575425"/>
            <a:ext cx="0" cy="152400"/>
          </a:xfrm>
          <a:prstGeom prst="line">
            <a:avLst/>
          </a:prstGeom>
          <a:ln w="1905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9" name="Straight Connector 1038"/>
          <xdr:cNvCxnSpPr/>
        </xdr:nvCxnSpPr>
        <xdr:spPr>
          <a:xfrm>
            <a:off x="8874125" y="6575425"/>
            <a:ext cx="0" cy="152400"/>
          </a:xfrm>
          <a:prstGeom prst="line">
            <a:avLst/>
          </a:prstGeom>
          <a:ln w="1905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0" name="Straight Connector 1039"/>
          <xdr:cNvCxnSpPr/>
        </xdr:nvCxnSpPr>
        <xdr:spPr>
          <a:xfrm>
            <a:off x="8924925" y="6575425"/>
            <a:ext cx="0" cy="152400"/>
          </a:xfrm>
          <a:prstGeom prst="line">
            <a:avLst/>
          </a:prstGeom>
          <a:ln w="1905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1" name="Straight Connector 1040"/>
          <xdr:cNvCxnSpPr/>
        </xdr:nvCxnSpPr>
        <xdr:spPr>
          <a:xfrm>
            <a:off x="8975725" y="6575425"/>
            <a:ext cx="0" cy="152400"/>
          </a:xfrm>
          <a:prstGeom prst="line">
            <a:avLst/>
          </a:prstGeom>
          <a:ln w="1905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104775</xdr:colOff>
      <xdr:row>16</xdr:row>
      <xdr:rowOff>15487</xdr:rowOff>
    </xdr:from>
    <xdr:to>
      <xdr:col>10</xdr:col>
      <xdr:colOff>2260600</xdr:colOff>
      <xdr:row>16</xdr:row>
      <xdr:rowOff>1724025</xdr:rowOff>
    </xdr:to>
    <xdr:grpSp>
      <xdr:nvGrpSpPr>
        <xdr:cNvPr id="4738" name="Group 4737"/>
        <xdr:cNvGrpSpPr/>
      </xdr:nvGrpSpPr>
      <xdr:grpSpPr>
        <a:xfrm>
          <a:off x="8432346" y="7172844"/>
          <a:ext cx="2155825" cy="1708538"/>
          <a:chOff x="8382000" y="7197337"/>
          <a:chExt cx="2155825" cy="1708538"/>
        </a:xfrm>
      </xdr:grpSpPr>
      <xdr:cxnSp macro="">
        <xdr:nvCxnSpPr>
          <xdr:cNvPr id="4695" name="Straight Connector 4694"/>
          <xdr:cNvCxnSpPr/>
        </xdr:nvCxnSpPr>
        <xdr:spPr>
          <a:xfrm>
            <a:off x="8404225" y="7435850"/>
            <a:ext cx="444500" cy="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96" name="Straight Connector 4695"/>
          <xdr:cNvCxnSpPr/>
        </xdr:nvCxnSpPr>
        <xdr:spPr>
          <a:xfrm>
            <a:off x="8956675" y="7480300"/>
            <a:ext cx="419100" cy="4191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97" name="Straight Connector 4696"/>
          <xdr:cNvCxnSpPr/>
        </xdr:nvCxnSpPr>
        <xdr:spPr>
          <a:xfrm>
            <a:off x="9483725" y="7943850"/>
            <a:ext cx="698500" cy="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98" name="Straight Connector 4697"/>
          <xdr:cNvCxnSpPr/>
        </xdr:nvCxnSpPr>
        <xdr:spPr>
          <a:xfrm>
            <a:off x="8404225" y="8896350"/>
            <a:ext cx="1625600" cy="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99" name="Straight Connector 4698"/>
          <xdr:cNvCxnSpPr/>
        </xdr:nvCxnSpPr>
        <xdr:spPr>
          <a:xfrm flipV="1">
            <a:off x="10182225" y="8388350"/>
            <a:ext cx="0" cy="3556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00" name="Arc 4699"/>
          <xdr:cNvSpPr/>
        </xdr:nvSpPr>
        <xdr:spPr>
          <a:xfrm>
            <a:off x="8696325" y="7435850"/>
            <a:ext cx="304800" cy="304800"/>
          </a:xfrm>
          <a:prstGeom prst="arc">
            <a:avLst>
              <a:gd name="adj1" fmla="val 16200000"/>
              <a:gd name="adj2" fmla="val 18900000"/>
            </a:avLst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01" name="Arc 4700"/>
          <xdr:cNvSpPr/>
        </xdr:nvSpPr>
        <xdr:spPr>
          <a:xfrm>
            <a:off x="9331325" y="7639050"/>
            <a:ext cx="304800" cy="304800"/>
          </a:xfrm>
          <a:prstGeom prst="arc">
            <a:avLst>
              <a:gd name="adj1" fmla="val 5400000"/>
              <a:gd name="adj2" fmla="val 8160000"/>
            </a:avLst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02" name="Arc 4701"/>
          <xdr:cNvSpPr/>
        </xdr:nvSpPr>
        <xdr:spPr>
          <a:xfrm>
            <a:off x="9877425" y="8591550"/>
            <a:ext cx="304800" cy="304800"/>
          </a:xfrm>
          <a:prstGeom prst="arc">
            <a:avLst>
              <a:gd name="adj1" fmla="val 0"/>
              <a:gd name="adj2" fmla="val 5400000"/>
            </a:avLst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707" name="Group 4706"/>
          <xdr:cNvGrpSpPr/>
        </xdr:nvGrpSpPr>
        <xdr:grpSpPr>
          <a:xfrm>
            <a:off x="9420225" y="7943850"/>
            <a:ext cx="762000" cy="251214"/>
            <a:chOff x="9420225" y="7943850"/>
            <a:chExt cx="762000" cy="251214"/>
          </a:xfrm>
        </xdr:grpSpPr>
        <xdr:cxnSp macro="">
          <xdr:nvCxnSpPr>
            <xdr:cNvPr id="4703" name="Straight Connector 4702"/>
            <xdr:cNvCxnSpPr/>
          </xdr:nvCxnSpPr>
          <xdr:spPr>
            <a:xfrm>
              <a:off x="9420225" y="7943850"/>
              <a:ext cx="0" cy="22860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04" name="Straight Connector 4703"/>
            <xdr:cNvCxnSpPr/>
          </xdr:nvCxnSpPr>
          <xdr:spPr>
            <a:xfrm>
              <a:off x="10182225" y="7943850"/>
              <a:ext cx="0" cy="22860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05" name="Straight Connector 4704"/>
            <xdr:cNvCxnSpPr/>
          </xdr:nvCxnSpPr>
          <xdr:spPr>
            <a:xfrm>
              <a:off x="9420225" y="8108950"/>
              <a:ext cx="762000" cy="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06" name="TextBox 4705"/>
            <xdr:cNvSpPr txBox="1"/>
          </xdr:nvSpPr>
          <xdr:spPr>
            <a:xfrm>
              <a:off x="9760413" y="8022837"/>
              <a:ext cx="81624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A</a:t>
              </a:r>
            </a:p>
          </xdr:txBody>
        </xdr:sp>
      </xdr:grpSp>
      <xdr:grpSp>
        <xdr:nvGrpSpPr>
          <xdr:cNvPr id="4712" name="Group 4711"/>
          <xdr:cNvGrpSpPr/>
        </xdr:nvGrpSpPr>
        <xdr:grpSpPr>
          <a:xfrm>
            <a:off x="8404225" y="7197337"/>
            <a:ext cx="495300" cy="238513"/>
            <a:chOff x="8404225" y="7197337"/>
            <a:chExt cx="495300" cy="238513"/>
          </a:xfrm>
        </xdr:grpSpPr>
        <xdr:cxnSp macro="">
          <xdr:nvCxnSpPr>
            <xdr:cNvPr id="4708" name="Straight Connector 4707"/>
            <xdr:cNvCxnSpPr/>
          </xdr:nvCxnSpPr>
          <xdr:spPr>
            <a:xfrm flipV="1">
              <a:off x="8404225" y="7219950"/>
              <a:ext cx="0" cy="21590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09" name="Straight Connector 4708"/>
            <xdr:cNvCxnSpPr/>
          </xdr:nvCxnSpPr>
          <xdr:spPr>
            <a:xfrm flipV="1">
              <a:off x="8899525" y="7219950"/>
              <a:ext cx="0" cy="21590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0" name="Straight Connector 4709"/>
            <xdr:cNvCxnSpPr/>
          </xdr:nvCxnSpPr>
          <xdr:spPr>
            <a:xfrm>
              <a:off x="8404225" y="7283450"/>
              <a:ext cx="495300" cy="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11" name="TextBox 4710"/>
            <xdr:cNvSpPr txBox="1"/>
          </xdr:nvSpPr>
          <xdr:spPr>
            <a:xfrm>
              <a:off x="8613499" y="7197337"/>
              <a:ext cx="76751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B</a:t>
              </a:r>
            </a:p>
          </xdr:txBody>
        </xdr:sp>
      </xdr:grpSp>
      <xdr:grpSp>
        <xdr:nvGrpSpPr>
          <xdr:cNvPr id="4717" name="Group 4716"/>
          <xdr:cNvGrpSpPr/>
        </xdr:nvGrpSpPr>
        <xdr:grpSpPr>
          <a:xfrm>
            <a:off x="8899525" y="7286906"/>
            <a:ext cx="682344" cy="644244"/>
            <a:chOff x="8899525" y="7286906"/>
            <a:chExt cx="682344" cy="644244"/>
          </a:xfrm>
        </xdr:grpSpPr>
        <xdr:cxnSp macro="">
          <xdr:nvCxnSpPr>
            <xdr:cNvPr id="4713" name="Straight Connector 4712"/>
            <xdr:cNvCxnSpPr/>
          </xdr:nvCxnSpPr>
          <xdr:spPr>
            <a:xfrm flipV="1">
              <a:off x="9420225" y="7769506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4" name="Straight Connector 4713"/>
            <xdr:cNvCxnSpPr/>
          </xdr:nvCxnSpPr>
          <xdr:spPr>
            <a:xfrm flipV="1">
              <a:off x="8899525" y="7286906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5" name="Straight Connector 4714"/>
            <xdr:cNvCxnSpPr/>
          </xdr:nvCxnSpPr>
          <xdr:spPr>
            <a:xfrm flipH="1" flipV="1">
              <a:off x="9016268" y="7331807"/>
              <a:ext cx="520700" cy="4826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16" name="TextBox 4715"/>
            <xdr:cNvSpPr txBox="1"/>
          </xdr:nvSpPr>
          <xdr:spPr>
            <a:xfrm rot="2700000">
              <a:off x="9360932" y="7441274"/>
              <a:ext cx="75213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C</a:t>
              </a:r>
            </a:p>
          </xdr:txBody>
        </xdr:sp>
      </xdr:grpSp>
      <xdr:grpSp>
        <xdr:nvGrpSpPr>
          <xdr:cNvPr id="4721" name="Group 4720"/>
          <xdr:cNvGrpSpPr/>
        </xdr:nvGrpSpPr>
        <xdr:grpSpPr>
          <a:xfrm>
            <a:off x="9674225" y="7435850"/>
            <a:ext cx="355600" cy="508000"/>
            <a:chOff x="9674225" y="7435850"/>
            <a:chExt cx="355600" cy="508000"/>
          </a:xfrm>
        </xdr:grpSpPr>
        <xdr:cxnSp macro="">
          <xdr:nvCxnSpPr>
            <xdr:cNvPr id="4718" name="Straight Connector 4717"/>
            <xdr:cNvCxnSpPr/>
          </xdr:nvCxnSpPr>
          <xdr:spPr>
            <a:xfrm>
              <a:off x="9674225" y="7435850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9" name="Straight Connector 4718"/>
            <xdr:cNvCxnSpPr/>
          </xdr:nvCxnSpPr>
          <xdr:spPr>
            <a:xfrm>
              <a:off x="9966325" y="7435850"/>
              <a:ext cx="0" cy="5080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20" name="TextBox 4719"/>
            <xdr:cNvSpPr txBox="1"/>
          </xdr:nvSpPr>
          <xdr:spPr>
            <a:xfrm>
              <a:off x="9765912" y="7655417"/>
              <a:ext cx="172227" cy="6886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E</a:t>
              </a:r>
            </a:p>
          </xdr:txBody>
        </xdr:sp>
      </xdr:grpSp>
      <xdr:grpSp>
        <xdr:nvGrpSpPr>
          <xdr:cNvPr id="4726" name="Group 4725"/>
          <xdr:cNvGrpSpPr/>
        </xdr:nvGrpSpPr>
        <xdr:grpSpPr>
          <a:xfrm>
            <a:off x="10182225" y="8388350"/>
            <a:ext cx="355600" cy="517525"/>
            <a:chOff x="10182225" y="8388350"/>
            <a:chExt cx="355600" cy="517525"/>
          </a:xfrm>
        </xdr:grpSpPr>
        <xdr:cxnSp macro="">
          <xdr:nvCxnSpPr>
            <xdr:cNvPr id="4722" name="Straight Connector 4721"/>
            <xdr:cNvCxnSpPr/>
          </xdr:nvCxnSpPr>
          <xdr:spPr>
            <a:xfrm>
              <a:off x="10182225" y="8388350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23" name="Straight Connector 4722"/>
            <xdr:cNvCxnSpPr/>
          </xdr:nvCxnSpPr>
          <xdr:spPr>
            <a:xfrm>
              <a:off x="10182225" y="8905875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24" name="Straight Connector 4723"/>
            <xdr:cNvCxnSpPr/>
          </xdr:nvCxnSpPr>
          <xdr:spPr>
            <a:xfrm>
              <a:off x="10474325" y="8388350"/>
              <a:ext cx="0" cy="517525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25" name="TextBox 4724"/>
            <xdr:cNvSpPr txBox="1"/>
          </xdr:nvSpPr>
          <xdr:spPr>
            <a:xfrm>
              <a:off x="10273912" y="8605290"/>
              <a:ext cx="172227" cy="86819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D</a:t>
              </a:r>
            </a:p>
          </xdr:txBody>
        </xdr:sp>
      </xdr:grpSp>
      <xdr:grpSp>
        <xdr:nvGrpSpPr>
          <xdr:cNvPr id="4730" name="Group 4729"/>
          <xdr:cNvGrpSpPr/>
        </xdr:nvGrpSpPr>
        <xdr:grpSpPr>
          <a:xfrm>
            <a:off x="8382000" y="7470775"/>
            <a:ext cx="533400" cy="228600"/>
            <a:chOff x="8382000" y="7470775"/>
            <a:chExt cx="533400" cy="228600"/>
          </a:xfrm>
        </xdr:grpSpPr>
        <xdr:cxnSp macro="">
          <xdr:nvCxnSpPr>
            <xdr:cNvPr id="4727" name="Straight Connector 4726"/>
            <xdr:cNvCxnSpPr/>
          </xdr:nvCxnSpPr>
          <xdr:spPr>
            <a:xfrm flipH="1">
              <a:off x="8763000" y="7470775"/>
              <a:ext cx="152400" cy="228600"/>
            </a:xfrm>
            <a:prstGeom prst="line">
              <a:avLst/>
            </a:prstGeom>
            <a:ln>
              <a:head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28" name="Straight Connector 4727"/>
            <xdr:cNvCxnSpPr/>
          </xdr:nvCxnSpPr>
          <xdr:spPr>
            <a:xfrm flipH="1">
              <a:off x="8382000" y="7699375"/>
              <a:ext cx="3810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29" name="TextBox 4728"/>
            <xdr:cNvSpPr txBox="1"/>
          </xdr:nvSpPr>
          <xdr:spPr>
            <a:xfrm>
              <a:off x="8513156" y="7498962"/>
              <a:ext cx="118687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D </a:t>
              </a:r>
            </a:p>
          </xdr:txBody>
        </xdr:sp>
      </xdr:grpSp>
      <xdr:grpSp>
        <xdr:nvGrpSpPr>
          <xdr:cNvPr id="4734" name="Group 4733"/>
          <xdr:cNvGrpSpPr/>
        </xdr:nvGrpSpPr>
        <xdr:grpSpPr>
          <a:xfrm>
            <a:off x="9585325" y="8480037"/>
            <a:ext cx="533400" cy="352813"/>
            <a:chOff x="9585325" y="8480037"/>
            <a:chExt cx="533400" cy="352813"/>
          </a:xfrm>
        </xdr:grpSpPr>
        <xdr:cxnSp macro="">
          <xdr:nvCxnSpPr>
            <xdr:cNvPr id="4731" name="Straight Connector 4730"/>
            <xdr:cNvCxnSpPr/>
          </xdr:nvCxnSpPr>
          <xdr:spPr>
            <a:xfrm flipH="1" flipV="1">
              <a:off x="9966325" y="8680450"/>
              <a:ext cx="152400" cy="152400"/>
            </a:xfrm>
            <a:prstGeom prst="line">
              <a:avLst/>
            </a:prstGeom>
            <a:ln>
              <a:head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32" name="Straight Connector 4731"/>
            <xdr:cNvCxnSpPr/>
          </xdr:nvCxnSpPr>
          <xdr:spPr>
            <a:xfrm flipH="1">
              <a:off x="9585325" y="8680450"/>
              <a:ext cx="3810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33" name="TextBox 4732"/>
            <xdr:cNvSpPr txBox="1"/>
          </xdr:nvSpPr>
          <xdr:spPr>
            <a:xfrm>
              <a:off x="9716481" y="8480037"/>
              <a:ext cx="118687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D </a:t>
              </a:r>
            </a:p>
          </xdr:txBody>
        </xdr:sp>
      </xdr:grpSp>
      <xdr:sp macro="" textlink="">
        <xdr:nvSpPr>
          <xdr:cNvPr id="4735" name="TextBox 4734"/>
          <xdr:cNvSpPr txBox="1"/>
        </xdr:nvSpPr>
        <xdr:spPr>
          <a:xfrm>
            <a:off x="8435504" y="7933937"/>
            <a:ext cx="445443" cy="1722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>
            <a:spAutoFit/>
          </a:bodyPr>
          <a:lstStyle/>
          <a:p>
            <a:pPr algn="ctr"/>
            <a:r>
              <a:rPr lang="en-US" sz="1100"/>
              <a:t>_PLAN_</a:t>
            </a:r>
          </a:p>
        </xdr:txBody>
      </xdr:sp>
      <xdr:sp macro="" textlink="">
        <xdr:nvSpPr>
          <xdr:cNvPr id="4736" name="TextBox 4735"/>
          <xdr:cNvSpPr txBox="1"/>
        </xdr:nvSpPr>
        <xdr:spPr>
          <a:xfrm>
            <a:off x="8454739" y="8568937"/>
            <a:ext cx="787973" cy="1722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lIns="0" tIns="0" rIns="0" bIns="0" rtlCol="0" anchor="ctr">
            <a:spAutoFit/>
          </a:bodyPr>
          <a:lstStyle/>
          <a:p>
            <a:pPr algn="ctr"/>
            <a:r>
              <a:rPr lang="en-US" sz="1100"/>
              <a:t>_ELEVATION_</a:t>
            </a:r>
          </a:p>
        </xdr:txBody>
      </xdr:sp>
      <xdr:sp macro="" textlink="">
        <xdr:nvSpPr>
          <xdr:cNvPr id="4737" name="Oval 4736"/>
          <xdr:cNvSpPr/>
        </xdr:nvSpPr>
        <xdr:spPr>
          <a:xfrm>
            <a:off x="10106025" y="7867650"/>
            <a:ext cx="152400" cy="152400"/>
          </a:xfrm>
          <a:prstGeom prst="ellipse">
            <a:avLst/>
          </a:prstGeom>
          <a:solidFill>
            <a:srgbClr val="0A286E"/>
          </a:solidFill>
          <a:ln w="25400" cap="flat" cmpd="sng" algn="ctr">
            <a:noFill/>
            <a:prstDash val="solid"/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10</xdr:col>
      <xdr:colOff>117087</xdr:colOff>
      <xdr:row>17</xdr:row>
      <xdr:rowOff>92356</xdr:rowOff>
    </xdr:from>
    <xdr:to>
      <xdr:col>10</xdr:col>
      <xdr:colOff>2260600</xdr:colOff>
      <xdr:row>17</xdr:row>
      <xdr:rowOff>1143000</xdr:rowOff>
    </xdr:to>
    <xdr:grpSp>
      <xdr:nvGrpSpPr>
        <xdr:cNvPr id="4773" name="Group 4772"/>
        <xdr:cNvGrpSpPr/>
      </xdr:nvGrpSpPr>
      <xdr:grpSpPr>
        <a:xfrm>
          <a:off x="8444658" y="9113892"/>
          <a:ext cx="2143513" cy="1050644"/>
          <a:chOff x="8394312" y="9141106"/>
          <a:chExt cx="2143513" cy="1050644"/>
        </a:xfrm>
      </xdr:grpSpPr>
      <xdr:cxnSp macro="">
        <xdr:nvCxnSpPr>
          <xdr:cNvPr id="4739" name="Straight Connector 4738"/>
          <xdr:cNvCxnSpPr/>
        </xdr:nvCxnSpPr>
        <xdr:spPr>
          <a:xfrm flipV="1">
            <a:off x="9039225" y="9747250"/>
            <a:ext cx="0" cy="4445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40" name="Straight Connector 4739"/>
          <xdr:cNvCxnSpPr/>
        </xdr:nvCxnSpPr>
        <xdr:spPr>
          <a:xfrm flipV="1">
            <a:off x="9039225" y="9302750"/>
            <a:ext cx="444500" cy="4445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41" name="Straight Connector 4740"/>
          <xdr:cNvCxnSpPr/>
        </xdr:nvCxnSpPr>
        <xdr:spPr>
          <a:xfrm>
            <a:off x="9483725" y="9302750"/>
            <a:ext cx="444500" cy="4445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42" name="Straight Connector 4741"/>
          <xdr:cNvCxnSpPr/>
        </xdr:nvCxnSpPr>
        <xdr:spPr>
          <a:xfrm>
            <a:off x="9928225" y="9747250"/>
            <a:ext cx="0" cy="4445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747" name="Group 4746"/>
          <xdr:cNvGrpSpPr/>
        </xdr:nvGrpSpPr>
        <xdr:grpSpPr>
          <a:xfrm>
            <a:off x="8648312" y="9747250"/>
            <a:ext cx="390913" cy="444500"/>
            <a:chOff x="8648312" y="9747250"/>
            <a:chExt cx="390913" cy="444500"/>
          </a:xfrm>
        </xdr:grpSpPr>
        <xdr:cxnSp macro="">
          <xdr:nvCxnSpPr>
            <xdr:cNvPr id="4743" name="Straight Connector 4742"/>
            <xdr:cNvCxnSpPr/>
          </xdr:nvCxnSpPr>
          <xdr:spPr>
            <a:xfrm flipH="1">
              <a:off x="8759825" y="9747250"/>
              <a:ext cx="2794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44" name="Straight Connector 4743"/>
            <xdr:cNvCxnSpPr/>
          </xdr:nvCxnSpPr>
          <xdr:spPr>
            <a:xfrm flipH="1">
              <a:off x="8759825" y="10191750"/>
              <a:ext cx="2794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45" name="Straight Connector 4744"/>
            <xdr:cNvCxnSpPr/>
          </xdr:nvCxnSpPr>
          <xdr:spPr>
            <a:xfrm>
              <a:off x="8823325" y="9747250"/>
              <a:ext cx="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46" name="TextBox 4745"/>
            <xdr:cNvSpPr txBox="1"/>
          </xdr:nvSpPr>
          <xdr:spPr>
            <a:xfrm>
              <a:off x="8648312" y="9928688"/>
              <a:ext cx="172227" cy="81624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A</a:t>
              </a:r>
            </a:p>
          </xdr:txBody>
        </xdr:sp>
      </xdr:grpSp>
      <xdr:grpSp>
        <xdr:nvGrpSpPr>
          <xdr:cNvPr id="4752" name="Group 4751"/>
          <xdr:cNvGrpSpPr/>
        </xdr:nvGrpSpPr>
        <xdr:grpSpPr>
          <a:xfrm>
            <a:off x="8877581" y="9141106"/>
            <a:ext cx="606144" cy="606144"/>
            <a:chOff x="8877581" y="9141106"/>
            <a:chExt cx="606144" cy="606144"/>
          </a:xfrm>
        </xdr:grpSpPr>
        <xdr:cxnSp macro="">
          <xdr:nvCxnSpPr>
            <xdr:cNvPr id="4748" name="Straight Connector 4747"/>
            <xdr:cNvCxnSpPr/>
          </xdr:nvCxnSpPr>
          <xdr:spPr>
            <a:xfrm flipH="1" flipV="1">
              <a:off x="8877581" y="9585606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49" name="Straight Connector 4748"/>
            <xdr:cNvCxnSpPr/>
          </xdr:nvCxnSpPr>
          <xdr:spPr>
            <a:xfrm flipH="1" flipV="1">
              <a:off x="9322081" y="9141106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50" name="Straight Connector 4749"/>
            <xdr:cNvCxnSpPr/>
          </xdr:nvCxnSpPr>
          <xdr:spPr>
            <a:xfrm flipV="1">
              <a:off x="8922482" y="9186007"/>
              <a:ext cx="44450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51" name="TextBox 4750"/>
            <xdr:cNvSpPr txBox="1"/>
          </xdr:nvSpPr>
          <xdr:spPr>
            <a:xfrm rot="-2700000">
              <a:off x="8984436" y="9276424"/>
              <a:ext cx="76752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B</a:t>
              </a:r>
            </a:p>
          </xdr:txBody>
        </xdr:sp>
      </xdr:grpSp>
      <xdr:grpSp>
        <xdr:nvGrpSpPr>
          <xdr:cNvPr id="4757" name="Group 4756"/>
          <xdr:cNvGrpSpPr/>
        </xdr:nvGrpSpPr>
        <xdr:grpSpPr>
          <a:xfrm>
            <a:off x="9483725" y="9141106"/>
            <a:ext cx="606144" cy="606144"/>
            <a:chOff x="9483725" y="9141106"/>
            <a:chExt cx="606144" cy="606144"/>
          </a:xfrm>
        </xdr:grpSpPr>
        <xdr:cxnSp macro="">
          <xdr:nvCxnSpPr>
            <xdr:cNvPr id="4753" name="Straight Connector 4752"/>
            <xdr:cNvCxnSpPr/>
          </xdr:nvCxnSpPr>
          <xdr:spPr>
            <a:xfrm flipV="1">
              <a:off x="9483725" y="9141106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54" name="Straight Connector 4753"/>
            <xdr:cNvCxnSpPr/>
          </xdr:nvCxnSpPr>
          <xdr:spPr>
            <a:xfrm flipV="1">
              <a:off x="9928225" y="9585606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55" name="Straight Connector 4754"/>
            <xdr:cNvCxnSpPr/>
          </xdr:nvCxnSpPr>
          <xdr:spPr>
            <a:xfrm>
              <a:off x="9600468" y="9186007"/>
              <a:ext cx="44450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56" name="TextBox 4755"/>
            <xdr:cNvSpPr txBox="1"/>
          </xdr:nvSpPr>
          <xdr:spPr>
            <a:xfrm rot="2700000">
              <a:off x="9907032" y="9276424"/>
              <a:ext cx="75213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C</a:t>
              </a:r>
            </a:p>
          </xdr:txBody>
        </xdr:sp>
      </xdr:grpSp>
      <xdr:grpSp>
        <xdr:nvGrpSpPr>
          <xdr:cNvPr id="4762" name="Group 4761"/>
          <xdr:cNvGrpSpPr/>
        </xdr:nvGrpSpPr>
        <xdr:grpSpPr>
          <a:xfrm>
            <a:off x="9928225" y="9747250"/>
            <a:ext cx="355600" cy="444500"/>
            <a:chOff x="9928225" y="9747250"/>
            <a:chExt cx="355600" cy="444500"/>
          </a:xfrm>
        </xdr:grpSpPr>
        <xdr:cxnSp macro="">
          <xdr:nvCxnSpPr>
            <xdr:cNvPr id="4758" name="Straight Connector 4757"/>
            <xdr:cNvCxnSpPr/>
          </xdr:nvCxnSpPr>
          <xdr:spPr>
            <a:xfrm>
              <a:off x="9928225" y="9747250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59" name="Straight Connector 4758"/>
            <xdr:cNvCxnSpPr/>
          </xdr:nvCxnSpPr>
          <xdr:spPr>
            <a:xfrm>
              <a:off x="9928225" y="10191750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60" name="Straight Connector 4759"/>
            <xdr:cNvCxnSpPr/>
          </xdr:nvCxnSpPr>
          <xdr:spPr>
            <a:xfrm>
              <a:off x="10220325" y="9747250"/>
              <a:ext cx="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61" name="TextBox 4760"/>
            <xdr:cNvSpPr txBox="1"/>
          </xdr:nvSpPr>
          <xdr:spPr>
            <a:xfrm>
              <a:off x="10019912" y="9926090"/>
              <a:ext cx="172227" cy="86819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D</a:t>
              </a:r>
            </a:p>
          </xdr:txBody>
        </xdr:sp>
      </xdr:grpSp>
      <xdr:grpSp>
        <xdr:nvGrpSpPr>
          <xdr:cNvPr id="4767" name="Group 4766"/>
          <xdr:cNvGrpSpPr/>
        </xdr:nvGrpSpPr>
        <xdr:grpSpPr>
          <a:xfrm>
            <a:off x="8394312" y="9302750"/>
            <a:ext cx="390913" cy="444500"/>
            <a:chOff x="8394312" y="9302750"/>
            <a:chExt cx="390913" cy="444500"/>
          </a:xfrm>
        </xdr:grpSpPr>
        <xdr:cxnSp macro="">
          <xdr:nvCxnSpPr>
            <xdr:cNvPr id="4763" name="Straight Connector 4762"/>
            <xdr:cNvCxnSpPr/>
          </xdr:nvCxnSpPr>
          <xdr:spPr>
            <a:xfrm flipH="1">
              <a:off x="8505825" y="9302750"/>
              <a:ext cx="2794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64" name="Straight Connector 4763"/>
            <xdr:cNvCxnSpPr/>
          </xdr:nvCxnSpPr>
          <xdr:spPr>
            <a:xfrm flipH="1">
              <a:off x="8505825" y="9747250"/>
              <a:ext cx="2794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65" name="Straight Connector 4764"/>
            <xdr:cNvCxnSpPr/>
          </xdr:nvCxnSpPr>
          <xdr:spPr>
            <a:xfrm>
              <a:off x="8569325" y="9302750"/>
              <a:ext cx="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66" name="TextBox 4765"/>
            <xdr:cNvSpPr txBox="1"/>
          </xdr:nvSpPr>
          <xdr:spPr>
            <a:xfrm>
              <a:off x="8394312" y="9490567"/>
              <a:ext cx="172227" cy="6886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E</a:t>
              </a:r>
            </a:p>
          </xdr:txBody>
        </xdr:sp>
      </xdr:grpSp>
      <xdr:grpSp>
        <xdr:nvGrpSpPr>
          <xdr:cNvPr id="4772" name="Group 4771"/>
          <xdr:cNvGrpSpPr/>
        </xdr:nvGrpSpPr>
        <xdr:grpSpPr>
          <a:xfrm>
            <a:off x="10182225" y="9302750"/>
            <a:ext cx="355600" cy="444500"/>
            <a:chOff x="10182225" y="9302750"/>
            <a:chExt cx="355600" cy="444500"/>
          </a:xfrm>
        </xdr:grpSpPr>
        <xdr:cxnSp macro="">
          <xdr:nvCxnSpPr>
            <xdr:cNvPr id="4768" name="Straight Connector 4767"/>
            <xdr:cNvCxnSpPr/>
          </xdr:nvCxnSpPr>
          <xdr:spPr>
            <a:xfrm>
              <a:off x="10182225" y="9302750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69" name="Straight Connector 4768"/>
            <xdr:cNvCxnSpPr/>
          </xdr:nvCxnSpPr>
          <xdr:spPr>
            <a:xfrm>
              <a:off x="10182225" y="9747250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70" name="Straight Connector 4769"/>
            <xdr:cNvCxnSpPr/>
          </xdr:nvCxnSpPr>
          <xdr:spPr>
            <a:xfrm>
              <a:off x="10474325" y="9302750"/>
              <a:ext cx="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71" name="TextBox 4770"/>
            <xdr:cNvSpPr txBox="1"/>
          </xdr:nvSpPr>
          <xdr:spPr>
            <a:xfrm>
              <a:off x="10273912" y="9492587"/>
              <a:ext cx="172227" cy="648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F</a:t>
              </a:r>
            </a:p>
          </xdr:txBody>
        </xdr:sp>
      </xdr:grpSp>
    </xdr:grpSp>
    <xdr:clientData/>
  </xdr:twoCellAnchor>
  <xdr:twoCellAnchor>
    <xdr:from>
      <xdr:col>10</xdr:col>
      <xdr:colOff>117087</xdr:colOff>
      <xdr:row>18</xdr:row>
      <xdr:rowOff>92356</xdr:rowOff>
    </xdr:from>
    <xdr:to>
      <xdr:col>10</xdr:col>
      <xdr:colOff>2260600</xdr:colOff>
      <xdr:row>18</xdr:row>
      <xdr:rowOff>1143000</xdr:rowOff>
    </xdr:to>
    <xdr:grpSp>
      <xdr:nvGrpSpPr>
        <xdr:cNvPr id="4807" name="Group 4806"/>
        <xdr:cNvGrpSpPr/>
      </xdr:nvGrpSpPr>
      <xdr:grpSpPr>
        <a:xfrm>
          <a:off x="8444658" y="10365749"/>
          <a:ext cx="2143513" cy="1050644"/>
          <a:chOff x="8394312" y="10388881"/>
          <a:chExt cx="2143513" cy="1050644"/>
        </a:xfrm>
      </xdr:grpSpPr>
      <xdr:cxnSp macro="">
        <xdr:nvCxnSpPr>
          <xdr:cNvPr id="4774" name="Straight Connector 4773"/>
          <xdr:cNvCxnSpPr/>
        </xdr:nvCxnSpPr>
        <xdr:spPr>
          <a:xfrm>
            <a:off x="8404225" y="10995025"/>
            <a:ext cx="635000" cy="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75" name="Straight Connector 4774"/>
          <xdr:cNvCxnSpPr/>
        </xdr:nvCxnSpPr>
        <xdr:spPr>
          <a:xfrm flipV="1">
            <a:off x="9039225" y="10550525"/>
            <a:ext cx="444500" cy="4445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76" name="Straight Connector 4775"/>
          <xdr:cNvCxnSpPr/>
        </xdr:nvCxnSpPr>
        <xdr:spPr>
          <a:xfrm>
            <a:off x="9483725" y="10550525"/>
            <a:ext cx="444500" cy="4445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77" name="Straight Connector 4776"/>
          <xdr:cNvCxnSpPr/>
        </xdr:nvCxnSpPr>
        <xdr:spPr>
          <a:xfrm>
            <a:off x="9928225" y="10995025"/>
            <a:ext cx="0" cy="4445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782" name="Group 4781"/>
          <xdr:cNvGrpSpPr/>
        </xdr:nvGrpSpPr>
        <xdr:grpSpPr>
          <a:xfrm>
            <a:off x="8404225" y="10995025"/>
            <a:ext cx="635000" cy="254000"/>
            <a:chOff x="8404225" y="10995025"/>
            <a:chExt cx="635000" cy="254000"/>
          </a:xfrm>
        </xdr:grpSpPr>
        <xdr:cxnSp macro="">
          <xdr:nvCxnSpPr>
            <xdr:cNvPr id="4778" name="Straight Connector 4777"/>
            <xdr:cNvCxnSpPr/>
          </xdr:nvCxnSpPr>
          <xdr:spPr>
            <a:xfrm>
              <a:off x="8404225" y="10995025"/>
              <a:ext cx="0" cy="25400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79" name="Straight Connector 4778"/>
            <xdr:cNvCxnSpPr/>
          </xdr:nvCxnSpPr>
          <xdr:spPr>
            <a:xfrm>
              <a:off x="9039225" y="10995025"/>
              <a:ext cx="0" cy="25400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80" name="Straight Connector 4779"/>
            <xdr:cNvCxnSpPr/>
          </xdr:nvCxnSpPr>
          <xdr:spPr>
            <a:xfrm>
              <a:off x="8404225" y="11185525"/>
              <a:ext cx="635000" cy="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81" name="TextBox 4780"/>
            <xdr:cNvSpPr txBox="1"/>
          </xdr:nvSpPr>
          <xdr:spPr>
            <a:xfrm>
              <a:off x="8680913" y="11074012"/>
              <a:ext cx="81624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A</a:t>
              </a:r>
            </a:p>
          </xdr:txBody>
        </xdr:sp>
      </xdr:grpSp>
      <xdr:grpSp>
        <xdr:nvGrpSpPr>
          <xdr:cNvPr id="4787" name="Group 4786"/>
          <xdr:cNvGrpSpPr/>
        </xdr:nvGrpSpPr>
        <xdr:grpSpPr>
          <a:xfrm>
            <a:off x="8877581" y="10388881"/>
            <a:ext cx="606144" cy="606144"/>
            <a:chOff x="8877581" y="10388881"/>
            <a:chExt cx="606144" cy="606144"/>
          </a:xfrm>
        </xdr:grpSpPr>
        <xdr:cxnSp macro="">
          <xdr:nvCxnSpPr>
            <xdr:cNvPr id="4783" name="Straight Connector 4782"/>
            <xdr:cNvCxnSpPr/>
          </xdr:nvCxnSpPr>
          <xdr:spPr>
            <a:xfrm flipH="1" flipV="1">
              <a:off x="8877581" y="10833381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84" name="Straight Connector 4783"/>
            <xdr:cNvCxnSpPr/>
          </xdr:nvCxnSpPr>
          <xdr:spPr>
            <a:xfrm flipH="1" flipV="1">
              <a:off x="9322081" y="10388881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85" name="Straight Connector 4784"/>
            <xdr:cNvCxnSpPr/>
          </xdr:nvCxnSpPr>
          <xdr:spPr>
            <a:xfrm flipV="1">
              <a:off x="8922482" y="10433782"/>
              <a:ext cx="44450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86" name="TextBox 4785"/>
            <xdr:cNvSpPr txBox="1"/>
          </xdr:nvSpPr>
          <xdr:spPr>
            <a:xfrm rot="-2700000">
              <a:off x="8984436" y="10524199"/>
              <a:ext cx="76752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B</a:t>
              </a:r>
            </a:p>
          </xdr:txBody>
        </xdr:sp>
      </xdr:grpSp>
      <xdr:grpSp>
        <xdr:nvGrpSpPr>
          <xdr:cNvPr id="4792" name="Group 4791"/>
          <xdr:cNvGrpSpPr/>
        </xdr:nvGrpSpPr>
        <xdr:grpSpPr>
          <a:xfrm>
            <a:off x="9483725" y="10388881"/>
            <a:ext cx="606144" cy="606144"/>
            <a:chOff x="9483725" y="10388881"/>
            <a:chExt cx="606144" cy="606144"/>
          </a:xfrm>
        </xdr:grpSpPr>
        <xdr:cxnSp macro="">
          <xdr:nvCxnSpPr>
            <xdr:cNvPr id="4788" name="Straight Connector 4787"/>
            <xdr:cNvCxnSpPr/>
          </xdr:nvCxnSpPr>
          <xdr:spPr>
            <a:xfrm flipV="1">
              <a:off x="9483725" y="10388881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89" name="Straight Connector 4788"/>
            <xdr:cNvCxnSpPr/>
          </xdr:nvCxnSpPr>
          <xdr:spPr>
            <a:xfrm flipV="1">
              <a:off x="9928225" y="10833381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90" name="Straight Connector 4789"/>
            <xdr:cNvCxnSpPr/>
          </xdr:nvCxnSpPr>
          <xdr:spPr>
            <a:xfrm>
              <a:off x="9600468" y="10433782"/>
              <a:ext cx="44450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91" name="TextBox 4790"/>
            <xdr:cNvSpPr txBox="1"/>
          </xdr:nvSpPr>
          <xdr:spPr>
            <a:xfrm rot="2700000">
              <a:off x="9907032" y="10524199"/>
              <a:ext cx="75213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C</a:t>
              </a:r>
            </a:p>
          </xdr:txBody>
        </xdr:sp>
      </xdr:grpSp>
      <xdr:grpSp>
        <xdr:nvGrpSpPr>
          <xdr:cNvPr id="4797" name="Group 4796"/>
          <xdr:cNvGrpSpPr/>
        </xdr:nvGrpSpPr>
        <xdr:grpSpPr>
          <a:xfrm>
            <a:off x="9928225" y="10995025"/>
            <a:ext cx="355600" cy="444500"/>
            <a:chOff x="9928225" y="10995025"/>
            <a:chExt cx="355600" cy="444500"/>
          </a:xfrm>
        </xdr:grpSpPr>
        <xdr:cxnSp macro="">
          <xdr:nvCxnSpPr>
            <xdr:cNvPr id="4793" name="Straight Connector 4792"/>
            <xdr:cNvCxnSpPr/>
          </xdr:nvCxnSpPr>
          <xdr:spPr>
            <a:xfrm>
              <a:off x="9928225" y="10995025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94" name="Straight Connector 4793"/>
            <xdr:cNvCxnSpPr/>
          </xdr:nvCxnSpPr>
          <xdr:spPr>
            <a:xfrm>
              <a:off x="9928225" y="11439525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95" name="Straight Connector 4794"/>
            <xdr:cNvCxnSpPr/>
          </xdr:nvCxnSpPr>
          <xdr:spPr>
            <a:xfrm>
              <a:off x="10220325" y="10995025"/>
              <a:ext cx="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96" name="TextBox 4795"/>
            <xdr:cNvSpPr txBox="1"/>
          </xdr:nvSpPr>
          <xdr:spPr>
            <a:xfrm>
              <a:off x="10019912" y="11173865"/>
              <a:ext cx="172227" cy="86819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D</a:t>
              </a:r>
            </a:p>
          </xdr:txBody>
        </xdr:sp>
      </xdr:grpSp>
      <xdr:grpSp>
        <xdr:nvGrpSpPr>
          <xdr:cNvPr id="4801" name="Group 4800"/>
          <xdr:cNvGrpSpPr/>
        </xdr:nvGrpSpPr>
        <xdr:grpSpPr>
          <a:xfrm>
            <a:off x="8394312" y="10550525"/>
            <a:ext cx="390913" cy="444500"/>
            <a:chOff x="8394312" y="10550525"/>
            <a:chExt cx="390913" cy="444500"/>
          </a:xfrm>
        </xdr:grpSpPr>
        <xdr:cxnSp macro="">
          <xdr:nvCxnSpPr>
            <xdr:cNvPr id="4798" name="Straight Connector 4797"/>
            <xdr:cNvCxnSpPr/>
          </xdr:nvCxnSpPr>
          <xdr:spPr>
            <a:xfrm flipH="1">
              <a:off x="8505825" y="10550525"/>
              <a:ext cx="2794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99" name="Straight Connector 4798"/>
            <xdr:cNvCxnSpPr/>
          </xdr:nvCxnSpPr>
          <xdr:spPr>
            <a:xfrm>
              <a:off x="8569325" y="10550525"/>
              <a:ext cx="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800" name="TextBox 4799"/>
            <xdr:cNvSpPr txBox="1"/>
          </xdr:nvSpPr>
          <xdr:spPr>
            <a:xfrm>
              <a:off x="8394312" y="10738342"/>
              <a:ext cx="172227" cy="6886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E</a:t>
              </a:r>
            </a:p>
          </xdr:txBody>
        </xdr:sp>
      </xdr:grpSp>
      <xdr:grpSp>
        <xdr:nvGrpSpPr>
          <xdr:cNvPr id="4806" name="Group 4805"/>
          <xdr:cNvGrpSpPr/>
        </xdr:nvGrpSpPr>
        <xdr:grpSpPr>
          <a:xfrm>
            <a:off x="10182225" y="10550525"/>
            <a:ext cx="355600" cy="444500"/>
            <a:chOff x="10182225" y="10550525"/>
            <a:chExt cx="355600" cy="444500"/>
          </a:xfrm>
        </xdr:grpSpPr>
        <xdr:cxnSp macro="">
          <xdr:nvCxnSpPr>
            <xdr:cNvPr id="4802" name="Straight Connector 4801"/>
            <xdr:cNvCxnSpPr/>
          </xdr:nvCxnSpPr>
          <xdr:spPr>
            <a:xfrm>
              <a:off x="10182225" y="10550525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03" name="Straight Connector 4802"/>
            <xdr:cNvCxnSpPr/>
          </xdr:nvCxnSpPr>
          <xdr:spPr>
            <a:xfrm>
              <a:off x="10182225" y="10995025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04" name="Straight Connector 4803"/>
            <xdr:cNvCxnSpPr/>
          </xdr:nvCxnSpPr>
          <xdr:spPr>
            <a:xfrm>
              <a:off x="10474325" y="10550525"/>
              <a:ext cx="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805" name="TextBox 4804"/>
            <xdr:cNvSpPr txBox="1"/>
          </xdr:nvSpPr>
          <xdr:spPr>
            <a:xfrm>
              <a:off x="10273912" y="10740362"/>
              <a:ext cx="172227" cy="648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F</a:t>
              </a:r>
            </a:p>
          </xdr:txBody>
        </xdr:sp>
      </xdr:grpSp>
    </xdr:grpSp>
    <xdr:clientData/>
  </xdr:twoCellAnchor>
  <xdr:twoCellAnchor>
    <xdr:from>
      <xdr:col>10</xdr:col>
      <xdr:colOff>117087</xdr:colOff>
      <xdr:row>19</xdr:row>
      <xdr:rowOff>92356</xdr:rowOff>
    </xdr:from>
    <xdr:to>
      <xdr:col>10</xdr:col>
      <xdr:colOff>2260600</xdr:colOff>
      <xdr:row>19</xdr:row>
      <xdr:rowOff>1143000</xdr:rowOff>
    </xdr:to>
    <xdr:grpSp>
      <xdr:nvGrpSpPr>
        <xdr:cNvPr id="5009" name="Group 5008"/>
        <xdr:cNvGrpSpPr/>
      </xdr:nvGrpSpPr>
      <xdr:grpSpPr>
        <a:xfrm>
          <a:off x="8444658" y="11617606"/>
          <a:ext cx="2143513" cy="1050644"/>
          <a:chOff x="8394312" y="11636656"/>
          <a:chExt cx="2143513" cy="1050644"/>
        </a:xfrm>
      </xdr:grpSpPr>
      <xdr:cxnSp macro="">
        <xdr:nvCxnSpPr>
          <xdr:cNvPr id="4976" name="Straight Connector 4975"/>
          <xdr:cNvCxnSpPr/>
        </xdr:nvCxnSpPr>
        <xdr:spPr>
          <a:xfrm>
            <a:off x="8404225" y="12242800"/>
            <a:ext cx="635000" cy="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77" name="Straight Connector 4976"/>
          <xdr:cNvCxnSpPr/>
        </xdr:nvCxnSpPr>
        <xdr:spPr>
          <a:xfrm flipV="1">
            <a:off x="9039225" y="11798300"/>
            <a:ext cx="444500" cy="4445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78" name="Straight Connector 4977"/>
          <xdr:cNvCxnSpPr/>
        </xdr:nvCxnSpPr>
        <xdr:spPr>
          <a:xfrm>
            <a:off x="9483725" y="11798300"/>
            <a:ext cx="444500" cy="4445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79" name="Straight Connector 4978"/>
          <xdr:cNvCxnSpPr/>
        </xdr:nvCxnSpPr>
        <xdr:spPr>
          <a:xfrm>
            <a:off x="9928225" y="12242800"/>
            <a:ext cx="0" cy="4445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984" name="Group 4983"/>
          <xdr:cNvGrpSpPr/>
        </xdr:nvGrpSpPr>
        <xdr:grpSpPr>
          <a:xfrm>
            <a:off x="8404225" y="12242800"/>
            <a:ext cx="635000" cy="254000"/>
            <a:chOff x="8404225" y="12242800"/>
            <a:chExt cx="635000" cy="254000"/>
          </a:xfrm>
        </xdr:grpSpPr>
        <xdr:cxnSp macro="">
          <xdr:nvCxnSpPr>
            <xdr:cNvPr id="4980" name="Straight Connector 4979"/>
            <xdr:cNvCxnSpPr/>
          </xdr:nvCxnSpPr>
          <xdr:spPr>
            <a:xfrm>
              <a:off x="8404225" y="12242800"/>
              <a:ext cx="0" cy="25400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81" name="Straight Connector 4980"/>
            <xdr:cNvCxnSpPr/>
          </xdr:nvCxnSpPr>
          <xdr:spPr>
            <a:xfrm>
              <a:off x="9039225" y="12242800"/>
              <a:ext cx="0" cy="25400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82" name="Straight Connector 4981"/>
            <xdr:cNvCxnSpPr/>
          </xdr:nvCxnSpPr>
          <xdr:spPr>
            <a:xfrm>
              <a:off x="8404225" y="12433300"/>
              <a:ext cx="635000" cy="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983" name="TextBox 4982"/>
            <xdr:cNvSpPr txBox="1"/>
          </xdr:nvSpPr>
          <xdr:spPr>
            <a:xfrm>
              <a:off x="8685978" y="12321787"/>
              <a:ext cx="71494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1</a:t>
              </a:r>
            </a:p>
          </xdr:txBody>
        </xdr:sp>
      </xdr:grpSp>
      <xdr:grpSp>
        <xdr:nvGrpSpPr>
          <xdr:cNvPr id="4989" name="Group 4988"/>
          <xdr:cNvGrpSpPr/>
        </xdr:nvGrpSpPr>
        <xdr:grpSpPr>
          <a:xfrm>
            <a:off x="8877581" y="11636656"/>
            <a:ext cx="606144" cy="606144"/>
            <a:chOff x="8877581" y="11636656"/>
            <a:chExt cx="606144" cy="606144"/>
          </a:xfrm>
        </xdr:grpSpPr>
        <xdr:cxnSp macro="">
          <xdr:nvCxnSpPr>
            <xdr:cNvPr id="4985" name="Straight Connector 4984"/>
            <xdr:cNvCxnSpPr/>
          </xdr:nvCxnSpPr>
          <xdr:spPr>
            <a:xfrm flipH="1" flipV="1">
              <a:off x="8877581" y="12081156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86" name="Straight Connector 4985"/>
            <xdr:cNvCxnSpPr/>
          </xdr:nvCxnSpPr>
          <xdr:spPr>
            <a:xfrm flipH="1" flipV="1">
              <a:off x="9322081" y="11636656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87" name="Straight Connector 4986"/>
            <xdr:cNvCxnSpPr/>
          </xdr:nvCxnSpPr>
          <xdr:spPr>
            <a:xfrm flipV="1">
              <a:off x="8922482" y="11681557"/>
              <a:ext cx="44450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988" name="TextBox 4987"/>
            <xdr:cNvSpPr txBox="1"/>
          </xdr:nvSpPr>
          <xdr:spPr>
            <a:xfrm rot="-2700000">
              <a:off x="8987065" y="11771974"/>
              <a:ext cx="71494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2</a:t>
              </a:r>
            </a:p>
          </xdr:txBody>
        </xdr:sp>
      </xdr:grpSp>
      <xdr:grpSp>
        <xdr:nvGrpSpPr>
          <xdr:cNvPr id="4994" name="Group 4993"/>
          <xdr:cNvGrpSpPr/>
        </xdr:nvGrpSpPr>
        <xdr:grpSpPr>
          <a:xfrm>
            <a:off x="9483725" y="11636656"/>
            <a:ext cx="606144" cy="606144"/>
            <a:chOff x="9483725" y="11636656"/>
            <a:chExt cx="606144" cy="606144"/>
          </a:xfrm>
        </xdr:grpSpPr>
        <xdr:cxnSp macro="">
          <xdr:nvCxnSpPr>
            <xdr:cNvPr id="4990" name="Straight Connector 4989"/>
            <xdr:cNvCxnSpPr/>
          </xdr:nvCxnSpPr>
          <xdr:spPr>
            <a:xfrm flipV="1">
              <a:off x="9483725" y="11636656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91" name="Straight Connector 4990"/>
            <xdr:cNvCxnSpPr/>
          </xdr:nvCxnSpPr>
          <xdr:spPr>
            <a:xfrm flipV="1">
              <a:off x="9928225" y="12081156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92" name="Straight Connector 4991"/>
            <xdr:cNvCxnSpPr/>
          </xdr:nvCxnSpPr>
          <xdr:spPr>
            <a:xfrm>
              <a:off x="9600468" y="11681557"/>
              <a:ext cx="44450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993" name="TextBox 4992"/>
            <xdr:cNvSpPr txBox="1"/>
          </xdr:nvSpPr>
          <xdr:spPr>
            <a:xfrm rot="2700000">
              <a:off x="9908891" y="11771974"/>
              <a:ext cx="71494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3</a:t>
              </a:r>
            </a:p>
          </xdr:txBody>
        </xdr:sp>
      </xdr:grpSp>
      <xdr:grpSp>
        <xdr:nvGrpSpPr>
          <xdr:cNvPr id="4999" name="Group 4998"/>
          <xdr:cNvGrpSpPr/>
        </xdr:nvGrpSpPr>
        <xdr:grpSpPr>
          <a:xfrm>
            <a:off x="9928225" y="12242800"/>
            <a:ext cx="355600" cy="444500"/>
            <a:chOff x="9928225" y="12242800"/>
            <a:chExt cx="355600" cy="444500"/>
          </a:xfrm>
        </xdr:grpSpPr>
        <xdr:cxnSp macro="">
          <xdr:nvCxnSpPr>
            <xdr:cNvPr id="4995" name="Straight Connector 4994"/>
            <xdr:cNvCxnSpPr/>
          </xdr:nvCxnSpPr>
          <xdr:spPr>
            <a:xfrm>
              <a:off x="9928225" y="12242800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96" name="Straight Connector 4995"/>
            <xdr:cNvCxnSpPr/>
          </xdr:nvCxnSpPr>
          <xdr:spPr>
            <a:xfrm>
              <a:off x="9928225" y="12687300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97" name="Straight Connector 4996"/>
            <xdr:cNvCxnSpPr/>
          </xdr:nvCxnSpPr>
          <xdr:spPr>
            <a:xfrm>
              <a:off x="10220325" y="12242800"/>
              <a:ext cx="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998" name="TextBox 4997"/>
            <xdr:cNvSpPr txBox="1"/>
          </xdr:nvSpPr>
          <xdr:spPr>
            <a:xfrm>
              <a:off x="10019912" y="12429303"/>
              <a:ext cx="172227" cy="71494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4</a:t>
              </a:r>
            </a:p>
          </xdr:txBody>
        </xdr:sp>
      </xdr:grpSp>
      <xdr:grpSp>
        <xdr:nvGrpSpPr>
          <xdr:cNvPr id="5003" name="Group 5002"/>
          <xdr:cNvGrpSpPr/>
        </xdr:nvGrpSpPr>
        <xdr:grpSpPr>
          <a:xfrm>
            <a:off x="8394312" y="11798300"/>
            <a:ext cx="390913" cy="444500"/>
            <a:chOff x="8394312" y="11798300"/>
            <a:chExt cx="390913" cy="444500"/>
          </a:xfrm>
        </xdr:grpSpPr>
        <xdr:cxnSp macro="">
          <xdr:nvCxnSpPr>
            <xdr:cNvPr id="5000" name="Straight Connector 4999"/>
            <xdr:cNvCxnSpPr/>
          </xdr:nvCxnSpPr>
          <xdr:spPr>
            <a:xfrm flipH="1">
              <a:off x="8505825" y="11798300"/>
              <a:ext cx="2794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01" name="Straight Connector 5000"/>
            <xdr:cNvCxnSpPr/>
          </xdr:nvCxnSpPr>
          <xdr:spPr>
            <a:xfrm>
              <a:off x="8569325" y="11798300"/>
              <a:ext cx="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002" name="TextBox 5001"/>
            <xdr:cNvSpPr txBox="1"/>
          </xdr:nvSpPr>
          <xdr:spPr>
            <a:xfrm>
              <a:off x="8394312" y="11984803"/>
              <a:ext cx="172227" cy="71494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5</a:t>
              </a:r>
            </a:p>
          </xdr:txBody>
        </xdr:sp>
      </xdr:grpSp>
      <xdr:grpSp>
        <xdr:nvGrpSpPr>
          <xdr:cNvPr id="5008" name="Group 5007"/>
          <xdr:cNvGrpSpPr/>
        </xdr:nvGrpSpPr>
        <xdr:grpSpPr>
          <a:xfrm>
            <a:off x="10182225" y="11798300"/>
            <a:ext cx="355600" cy="444500"/>
            <a:chOff x="10182225" y="11798300"/>
            <a:chExt cx="355600" cy="444500"/>
          </a:xfrm>
        </xdr:grpSpPr>
        <xdr:cxnSp macro="">
          <xdr:nvCxnSpPr>
            <xdr:cNvPr id="5004" name="Straight Connector 5003"/>
            <xdr:cNvCxnSpPr/>
          </xdr:nvCxnSpPr>
          <xdr:spPr>
            <a:xfrm>
              <a:off x="10182225" y="11798300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05" name="Straight Connector 5004"/>
            <xdr:cNvCxnSpPr/>
          </xdr:nvCxnSpPr>
          <xdr:spPr>
            <a:xfrm>
              <a:off x="10182225" y="12242800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06" name="Straight Connector 5005"/>
            <xdr:cNvCxnSpPr/>
          </xdr:nvCxnSpPr>
          <xdr:spPr>
            <a:xfrm>
              <a:off x="10474325" y="11798300"/>
              <a:ext cx="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007" name="TextBox 5006"/>
            <xdr:cNvSpPr txBox="1"/>
          </xdr:nvSpPr>
          <xdr:spPr>
            <a:xfrm>
              <a:off x="10273912" y="11984803"/>
              <a:ext cx="172227" cy="71494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6</a:t>
              </a:r>
            </a:p>
          </xdr:txBody>
        </xdr:sp>
      </xdr:grpSp>
    </xdr:grpSp>
    <xdr:clientData/>
  </xdr:twoCellAnchor>
  <xdr:twoCellAnchor>
    <xdr:from>
      <xdr:col>10</xdr:col>
      <xdr:colOff>117087</xdr:colOff>
      <xdr:row>20</xdr:row>
      <xdr:rowOff>92356</xdr:rowOff>
    </xdr:from>
    <xdr:to>
      <xdr:col>10</xdr:col>
      <xdr:colOff>2260600</xdr:colOff>
      <xdr:row>20</xdr:row>
      <xdr:rowOff>1143000</xdr:rowOff>
    </xdr:to>
    <xdr:grpSp>
      <xdr:nvGrpSpPr>
        <xdr:cNvPr id="5219" name="Group 5218"/>
        <xdr:cNvGrpSpPr/>
      </xdr:nvGrpSpPr>
      <xdr:grpSpPr>
        <a:xfrm>
          <a:off x="8444658" y="12869463"/>
          <a:ext cx="2143513" cy="1050644"/>
          <a:chOff x="8394312" y="12884431"/>
          <a:chExt cx="2143513" cy="1050644"/>
        </a:xfrm>
      </xdr:grpSpPr>
      <xdr:cxnSp macro="">
        <xdr:nvCxnSpPr>
          <xdr:cNvPr id="5185" name="Straight Connector 5184"/>
          <xdr:cNvCxnSpPr/>
        </xdr:nvCxnSpPr>
        <xdr:spPr>
          <a:xfrm flipV="1">
            <a:off x="9039225" y="13490575"/>
            <a:ext cx="0" cy="4445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86" name="Straight Connector 5185"/>
          <xdr:cNvCxnSpPr/>
        </xdr:nvCxnSpPr>
        <xdr:spPr>
          <a:xfrm flipV="1">
            <a:off x="9039225" y="13046075"/>
            <a:ext cx="444500" cy="4445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87" name="Straight Connector 5186"/>
          <xdr:cNvCxnSpPr/>
        </xdr:nvCxnSpPr>
        <xdr:spPr>
          <a:xfrm>
            <a:off x="9483725" y="13046075"/>
            <a:ext cx="444500" cy="4445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88" name="Straight Connector 5187"/>
          <xdr:cNvCxnSpPr/>
        </xdr:nvCxnSpPr>
        <xdr:spPr>
          <a:xfrm>
            <a:off x="9928225" y="13490575"/>
            <a:ext cx="0" cy="444500"/>
          </a:xfrm>
          <a:prstGeom prst="line">
            <a:avLst/>
          </a:prstGeom>
          <a:ln w="38100">
            <a:solidFill>
              <a:srgbClr val="0A286E"/>
            </a:solidFill>
          </a:ln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5193" name="Group 5192"/>
          <xdr:cNvGrpSpPr/>
        </xdr:nvGrpSpPr>
        <xdr:grpSpPr>
          <a:xfrm>
            <a:off x="8648312" y="13490575"/>
            <a:ext cx="390913" cy="444500"/>
            <a:chOff x="8648312" y="13490575"/>
            <a:chExt cx="390913" cy="444500"/>
          </a:xfrm>
        </xdr:grpSpPr>
        <xdr:cxnSp macro="">
          <xdr:nvCxnSpPr>
            <xdr:cNvPr id="5189" name="Straight Connector 5188"/>
            <xdr:cNvCxnSpPr/>
          </xdr:nvCxnSpPr>
          <xdr:spPr>
            <a:xfrm flipH="1">
              <a:off x="8759825" y="13490575"/>
              <a:ext cx="2794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90" name="Straight Connector 5189"/>
            <xdr:cNvCxnSpPr/>
          </xdr:nvCxnSpPr>
          <xdr:spPr>
            <a:xfrm flipH="1">
              <a:off x="8759825" y="13935075"/>
              <a:ext cx="2794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91" name="Straight Connector 5190"/>
            <xdr:cNvCxnSpPr/>
          </xdr:nvCxnSpPr>
          <xdr:spPr>
            <a:xfrm>
              <a:off x="8823325" y="13490575"/>
              <a:ext cx="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192" name="TextBox 5191"/>
            <xdr:cNvSpPr txBox="1"/>
          </xdr:nvSpPr>
          <xdr:spPr>
            <a:xfrm>
              <a:off x="8648312" y="13677078"/>
              <a:ext cx="172227" cy="71494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1</a:t>
              </a:r>
            </a:p>
          </xdr:txBody>
        </xdr:sp>
      </xdr:grpSp>
      <xdr:grpSp>
        <xdr:nvGrpSpPr>
          <xdr:cNvPr id="5198" name="Group 5197"/>
          <xdr:cNvGrpSpPr/>
        </xdr:nvGrpSpPr>
        <xdr:grpSpPr>
          <a:xfrm>
            <a:off x="8877581" y="12884431"/>
            <a:ext cx="606144" cy="606144"/>
            <a:chOff x="8877581" y="12884431"/>
            <a:chExt cx="606144" cy="606144"/>
          </a:xfrm>
        </xdr:grpSpPr>
        <xdr:cxnSp macro="">
          <xdr:nvCxnSpPr>
            <xdr:cNvPr id="5194" name="Straight Connector 5193"/>
            <xdr:cNvCxnSpPr/>
          </xdr:nvCxnSpPr>
          <xdr:spPr>
            <a:xfrm flipH="1" flipV="1">
              <a:off x="8877581" y="13328931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95" name="Straight Connector 5194"/>
            <xdr:cNvCxnSpPr/>
          </xdr:nvCxnSpPr>
          <xdr:spPr>
            <a:xfrm flipH="1" flipV="1">
              <a:off x="9322081" y="12884431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96" name="Straight Connector 5195"/>
            <xdr:cNvCxnSpPr/>
          </xdr:nvCxnSpPr>
          <xdr:spPr>
            <a:xfrm flipV="1">
              <a:off x="8922482" y="12929332"/>
              <a:ext cx="44450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197" name="TextBox 5196"/>
            <xdr:cNvSpPr txBox="1"/>
          </xdr:nvSpPr>
          <xdr:spPr>
            <a:xfrm rot="-2700000">
              <a:off x="8987065" y="13019749"/>
              <a:ext cx="71494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2</a:t>
              </a:r>
            </a:p>
          </xdr:txBody>
        </xdr:sp>
      </xdr:grpSp>
      <xdr:grpSp>
        <xdr:nvGrpSpPr>
          <xdr:cNvPr id="5203" name="Group 5202"/>
          <xdr:cNvGrpSpPr/>
        </xdr:nvGrpSpPr>
        <xdr:grpSpPr>
          <a:xfrm>
            <a:off x="9483725" y="12884431"/>
            <a:ext cx="606144" cy="606144"/>
            <a:chOff x="9483725" y="12884431"/>
            <a:chExt cx="606144" cy="606144"/>
          </a:xfrm>
        </xdr:grpSpPr>
        <xdr:cxnSp macro="">
          <xdr:nvCxnSpPr>
            <xdr:cNvPr id="5199" name="Straight Connector 5198"/>
            <xdr:cNvCxnSpPr/>
          </xdr:nvCxnSpPr>
          <xdr:spPr>
            <a:xfrm flipV="1">
              <a:off x="9483725" y="12884431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00" name="Straight Connector 5199"/>
            <xdr:cNvCxnSpPr/>
          </xdr:nvCxnSpPr>
          <xdr:spPr>
            <a:xfrm flipV="1">
              <a:off x="9928225" y="13328931"/>
              <a:ext cx="161644" cy="161644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01" name="Straight Connector 5200"/>
            <xdr:cNvCxnSpPr/>
          </xdr:nvCxnSpPr>
          <xdr:spPr>
            <a:xfrm>
              <a:off x="9600468" y="12929332"/>
              <a:ext cx="44450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202" name="TextBox 5201"/>
            <xdr:cNvSpPr txBox="1"/>
          </xdr:nvSpPr>
          <xdr:spPr>
            <a:xfrm rot="2700000">
              <a:off x="9908891" y="13019749"/>
              <a:ext cx="71494" cy="17222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3</a:t>
              </a:r>
            </a:p>
          </xdr:txBody>
        </xdr:sp>
      </xdr:grpSp>
      <xdr:grpSp>
        <xdr:nvGrpSpPr>
          <xdr:cNvPr id="5208" name="Group 5207"/>
          <xdr:cNvGrpSpPr/>
        </xdr:nvGrpSpPr>
        <xdr:grpSpPr>
          <a:xfrm>
            <a:off x="9928225" y="13490575"/>
            <a:ext cx="355600" cy="444500"/>
            <a:chOff x="9928225" y="13490575"/>
            <a:chExt cx="355600" cy="444500"/>
          </a:xfrm>
        </xdr:grpSpPr>
        <xdr:cxnSp macro="">
          <xdr:nvCxnSpPr>
            <xdr:cNvPr id="5204" name="Straight Connector 5203"/>
            <xdr:cNvCxnSpPr/>
          </xdr:nvCxnSpPr>
          <xdr:spPr>
            <a:xfrm>
              <a:off x="9928225" y="13490575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05" name="Straight Connector 5204"/>
            <xdr:cNvCxnSpPr/>
          </xdr:nvCxnSpPr>
          <xdr:spPr>
            <a:xfrm>
              <a:off x="9928225" y="13935075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06" name="Straight Connector 5205"/>
            <xdr:cNvCxnSpPr/>
          </xdr:nvCxnSpPr>
          <xdr:spPr>
            <a:xfrm>
              <a:off x="10220325" y="13490575"/>
              <a:ext cx="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207" name="TextBox 5206"/>
            <xdr:cNvSpPr txBox="1"/>
          </xdr:nvSpPr>
          <xdr:spPr>
            <a:xfrm>
              <a:off x="10019912" y="13677078"/>
              <a:ext cx="172227" cy="71494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4</a:t>
              </a:r>
            </a:p>
          </xdr:txBody>
        </xdr:sp>
      </xdr:grpSp>
      <xdr:grpSp>
        <xdr:nvGrpSpPr>
          <xdr:cNvPr id="5213" name="Group 5212"/>
          <xdr:cNvGrpSpPr/>
        </xdr:nvGrpSpPr>
        <xdr:grpSpPr>
          <a:xfrm>
            <a:off x="8394312" y="13046075"/>
            <a:ext cx="390913" cy="444500"/>
            <a:chOff x="8394312" y="13046075"/>
            <a:chExt cx="390913" cy="444500"/>
          </a:xfrm>
        </xdr:grpSpPr>
        <xdr:cxnSp macro="">
          <xdr:nvCxnSpPr>
            <xdr:cNvPr id="5209" name="Straight Connector 5208"/>
            <xdr:cNvCxnSpPr/>
          </xdr:nvCxnSpPr>
          <xdr:spPr>
            <a:xfrm flipH="1">
              <a:off x="8505825" y="13046075"/>
              <a:ext cx="2794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10" name="Straight Connector 5209"/>
            <xdr:cNvCxnSpPr/>
          </xdr:nvCxnSpPr>
          <xdr:spPr>
            <a:xfrm flipH="1">
              <a:off x="8505825" y="13490575"/>
              <a:ext cx="2794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11" name="Straight Connector 5210"/>
            <xdr:cNvCxnSpPr/>
          </xdr:nvCxnSpPr>
          <xdr:spPr>
            <a:xfrm>
              <a:off x="8569325" y="13046075"/>
              <a:ext cx="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212" name="TextBox 5211"/>
            <xdr:cNvSpPr txBox="1"/>
          </xdr:nvSpPr>
          <xdr:spPr>
            <a:xfrm>
              <a:off x="8394312" y="13232578"/>
              <a:ext cx="172227" cy="71494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5</a:t>
              </a:r>
            </a:p>
          </xdr:txBody>
        </xdr:sp>
      </xdr:grpSp>
      <xdr:grpSp>
        <xdr:nvGrpSpPr>
          <xdr:cNvPr id="5218" name="Group 5217"/>
          <xdr:cNvGrpSpPr/>
        </xdr:nvGrpSpPr>
        <xdr:grpSpPr>
          <a:xfrm>
            <a:off x="10182225" y="13046075"/>
            <a:ext cx="355600" cy="444500"/>
            <a:chOff x="10182225" y="13046075"/>
            <a:chExt cx="355600" cy="444500"/>
          </a:xfrm>
        </xdr:grpSpPr>
        <xdr:cxnSp macro="">
          <xdr:nvCxnSpPr>
            <xdr:cNvPr id="5214" name="Straight Connector 5213"/>
            <xdr:cNvCxnSpPr/>
          </xdr:nvCxnSpPr>
          <xdr:spPr>
            <a:xfrm>
              <a:off x="10182225" y="13046075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15" name="Straight Connector 5214"/>
            <xdr:cNvCxnSpPr/>
          </xdr:nvCxnSpPr>
          <xdr:spPr>
            <a:xfrm>
              <a:off x="10182225" y="13490575"/>
              <a:ext cx="355600" cy="0"/>
            </a:xfrm>
            <a:prstGeom prst="line">
              <a:avLst/>
            </a:prstGeom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16" name="Straight Connector 5215"/>
            <xdr:cNvCxnSpPr/>
          </xdr:nvCxnSpPr>
          <xdr:spPr>
            <a:xfrm>
              <a:off x="10474325" y="13046075"/>
              <a:ext cx="0" cy="444500"/>
            </a:xfrm>
            <a:prstGeom prst="line">
              <a:avLst/>
            </a:prstGeom>
            <a:ln>
              <a:headEnd type="triangle"/>
              <a:tailEnd type="triangle"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217" name="TextBox 5216"/>
            <xdr:cNvSpPr txBox="1"/>
          </xdr:nvSpPr>
          <xdr:spPr>
            <a:xfrm>
              <a:off x="10273912" y="13232578"/>
              <a:ext cx="172227" cy="71494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  <a:extLs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none" lIns="0" tIns="0" rIns="0" bIns="0" rtlCol="0" anchor="ctr">
              <a:spAutoFit/>
            </a:bodyPr>
            <a:lstStyle/>
            <a:p>
              <a:pPr algn="ctr"/>
              <a:r>
                <a:rPr lang="en-US" sz="1100"/>
                <a:t>6</a:t>
              </a: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3:Y1600"/>
  <sheetViews>
    <sheetView tabSelected="1" view="pageBreakPreview" topLeftCell="A13" zoomScale="70" zoomScaleNormal="85" zoomScaleSheetLayoutView="70" workbookViewId="0">
      <selection activeCell="U21" sqref="U21"/>
    </sheetView>
  </sheetViews>
  <sheetFormatPr defaultColWidth="9.140625" defaultRowHeight="15"/>
  <cols>
    <col min="1" max="1" width="9.140625" style="1"/>
    <col min="2" max="2" width="13" style="1" customWidth="1"/>
    <col min="3" max="3" width="10.7109375" style="1" customWidth="1"/>
    <col min="4" max="4" width="13.5703125" style="1" customWidth="1"/>
    <col min="5" max="6" width="10.7109375" style="1" customWidth="1"/>
    <col min="7" max="7" width="11.5703125" style="1" customWidth="1"/>
    <col min="8" max="8" width="10.7109375" style="1" customWidth="1"/>
    <col min="9" max="9" width="11.140625" style="1" customWidth="1"/>
    <col min="10" max="10" width="22.85546875" style="1" bestFit="1" customWidth="1"/>
    <col min="11" max="11" width="35.7109375" style="1" customWidth="1"/>
    <col min="12" max="12" width="19.7109375" style="1" customWidth="1"/>
    <col min="13" max="13" width="9.140625" style="1"/>
    <col min="14" max="14" width="9.5703125" style="1" customWidth="1"/>
    <col min="15" max="22" width="6.7109375" style="1" customWidth="1"/>
    <col min="23" max="24" width="9.140625" style="1" customWidth="1"/>
    <col min="25" max="16384" width="9.140625" style="1"/>
  </cols>
  <sheetData>
    <row r="3" spans="2:25" ht="15" customHeight="1">
      <c r="D3" s="36" t="s">
        <v>25</v>
      </c>
      <c r="E3" s="36"/>
      <c r="F3" s="36"/>
      <c r="G3" s="36"/>
      <c r="H3" s="36"/>
      <c r="I3" s="36"/>
      <c r="J3" s="36"/>
      <c r="K3" s="36"/>
    </row>
    <row r="4" spans="2:25" ht="15.75" customHeight="1" thickBot="1">
      <c r="D4" s="37"/>
      <c r="E4" s="37"/>
      <c r="F4" s="37"/>
      <c r="G4" s="37"/>
      <c r="H4" s="37"/>
      <c r="I4" s="37"/>
      <c r="J4" s="37"/>
      <c r="K4" s="37"/>
    </row>
    <row r="5" spans="2:25" ht="50.1" customHeight="1">
      <c r="B5" s="47" t="s">
        <v>26</v>
      </c>
      <c r="C5" s="48"/>
      <c r="D5" s="48"/>
      <c r="E5" s="48"/>
      <c r="F5" s="48"/>
      <c r="G5" s="48"/>
      <c r="H5" s="48"/>
      <c r="I5" s="48"/>
      <c r="J5" s="48"/>
      <c r="K5" s="55" t="s">
        <v>27</v>
      </c>
      <c r="L5" s="56"/>
    </row>
    <row r="6" spans="2:25" ht="50.1" customHeight="1">
      <c r="B6" s="49" t="s">
        <v>30</v>
      </c>
      <c r="C6" s="50"/>
      <c r="D6" s="50"/>
      <c r="E6" s="50"/>
      <c r="F6" s="50"/>
      <c r="G6" s="50"/>
      <c r="H6" s="50"/>
      <c r="I6" s="50"/>
      <c r="J6" s="51"/>
      <c r="K6" s="57" t="s">
        <v>33</v>
      </c>
      <c r="L6" s="58"/>
    </row>
    <row r="7" spans="2:25" ht="37.5" customHeight="1" thickBot="1">
      <c r="B7" s="52" t="s">
        <v>28</v>
      </c>
      <c r="C7" s="53"/>
      <c r="D7" s="53"/>
      <c r="E7" s="53"/>
      <c r="F7" s="53"/>
      <c r="G7" s="53"/>
      <c r="H7" s="53"/>
      <c r="I7" s="53"/>
      <c r="J7" s="54"/>
      <c r="K7" s="59" t="s">
        <v>29</v>
      </c>
      <c r="L7" s="60"/>
    </row>
    <row r="8" spans="2:25" ht="4.5" customHeight="1" thickBot="1">
      <c r="B8" s="45"/>
      <c r="C8" s="46"/>
      <c r="D8" s="46"/>
      <c r="E8" s="46"/>
      <c r="F8" s="46"/>
      <c r="G8" s="46"/>
      <c r="H8" s="46"/>
      <c r="I8" s="46"/>
      <c r="J8" s="46"/>
      <c r="K8" s="17"/>
      <c r="L8" s="18"/>
    </row>
    <row r="9" spans="2:25" s="2" customFormat="1" ht="50.1" customHeight="1">
      <c r="B9" s="64" t="s">
        <v>6</v>
      </c>
      <c r="C9" s="65"/>
      <c r="D9" s="61" t="s">
        <v>31</v>
      </c>
      <c r="E9" s="62"/>
      <c r="F9" s="62"/>
      <c r="G9" s="62"/>
      <c r="H9" s="62"/>
      <c r="I9" s="62"/>
      <c r="J9" s="62"/>
      <c r="K9" s="62"/>
      <c r="L9" s="63"/>
    </row>
    <row r="10" spans="2:25" s="2" customFormat="1" ht="24.95" customHeight="1">
      <c r="B10" s="66" t="s">
        <v>7</v>
      </c>
      <c r="C10" s="67"/>
      <c r="D10" s="70" t="s">
        <v>32</v>
      </c>
      <c r="E10" s="71"/>
      <c r="F10" s="71"/>
      <c r="G10" s="71"/>
      <c r="H10" s="71"/>
      <c r="I10" s="71"/>
      <c r="J10" s="71"/>
      <c r="K10" s="71"/>
      <c r="L10" s="72"/>
    </row>
    <row r="11" spans="2:25" s="2" customFormat="1" ht="24.95" customHeight="1" thickBot="1">
      <c r="B11" s="68"/>
      <c r="C11" s="69"/>
      <c r="D11" s="73"/>
      <c r="E11" s="74"/>
      <c r="F11" s="74"/>
      <c r="G11" s="74"/>
      <c r="H11" s="74"/>
      <c r="I11" s="74"/>
      <c r="J11" s="74"/>
      <c r="K11" s="74"/>
      <c r="L11" s="75"/>
    </row>
    <row r="12" spans="2:25" s="8" customFormat="1" ht="50.1" customHeight="1" thickBot="1">
      <c r="B12" s="34" t="s">
        <v>17</v>
      </c>
      <c r="C12" s="30">
        <v>10</v>
      </c>
      <c r="D12" s="31">
        <v>12</v>
      </c>
      <c r="E12" s="31">
        <v>14</v>
      </c>
      <c r="F12" s="31">
        <v>16</v>
      </c>
      <c r="G12" s="31">
        <v>18</v>
      </c>
      <c r="H12" s="31">
        <v>20</v>
      </c>
      <c r="I12" s="31">
        <v>25</v>
      </c>
      <c r="J12" s="31">
        <v>32</v>
      </c>
      <c r="K12" s="38" t="s">
        <v>22</v>
      </c>
      <c r="L12" s="39"/>
    </row>
    <row r="13" spans="2:25" s="2" customFormat="1" ht="50.1" customHeight="1" thickBot="1">
      <c r="B13" s="34" t="s">
        <v>21</v>
      </c>
      <c r="C13" s="32">
        <f>SUMIF(C16:C265,10,J16:J265)</f>
        <v>0</v>
      </c>
      <c r="D13" s="33">
        <f>SUMIF(C16:C265,12,J16:J265)</f>
        <v>0</v>
      </c>
      <c r="E13" s="33">
        <f>SUMIF(C16:C265,14,J16:J265)</f>
        <v>0</v>
      </c>
      <c r="F13" s="33">
        <f>SUMIF(C16:C265,16,J16:J265)</f>
        <v>0</v>
      </c>
      <c r="G13" s="33">
        <f>SUMIF(C16:C265,18,J16:J265)</f>
        <v>0</v>
      </c>
      <c r="H13" s="33">
        <f>SUMIF(C16:C265,20,J16:J265)</f>
        <v>0</v>
      </c>
      <c r="I13" s="33">
        <f>SUMIF(C16:C265,25,J16:J265)</f>
        <v>0</v>
      </c>
      <c r="J13" s="33">
        <f>SUMIF(C16:C265,32,J16:J265)</f>
        <v>0</v>
      </c>
      <c r="K13" s="40">
        <f>SUM(J16:J265)</f>
        <v>0</v>
      </c>
      <c r="L13" s="41"/>
    </row>
    <row r="14" spans="2:25" s="2" customFormat="1" ht="4.5" customHeight="1" thickBot="1">
      <c r="B14" s="42"/>
      <c r="C14" s="43"/>
      <c r="D14" s="43"/>
      <c r="E14" s="43"/>
      <c r="F14" s="43"/>
      <c r="G14" s="43"/>
      <c r="H14" s="43"/>
      <c r="I14" s="43"/>
      <c r="J14" s="43"/>
      <c r="K14" s="43"/>
      <c r="L14" s="44"/>
    </row>
    <row r="15" spans="2:25" ht="80.099999999999994" customHeight="1" thickBot="1">
      <c r="B15" s="9" t="s">
        <v>0</v>
      </c>
      <c r="C15" s="10" t="s">
        <v>1</v>
      </c>
      <c r="D15" s="14" t="s">
        <v>20</v>
      </c>
      <c r="E15" s="11" t="s">
        <v>18</v>
      </c>
      <c r="F15" s="11" t="s">
        <v>19</v>
      </c>
      <c r="G15" s="11" t="s">
        <v>2</v>
      </c>
      <c r="H15" s="11" t="s">
        <v>3</v>
      </c>
      <c r="I15" s="12" t="s">
        <v>23</v>
      </c>
      <c r="J15" s="11" t="s">
        <v>24</v>
      </c>
      <c r="K15" s="11" t="s">
        <v>5</v>
      </c>
      <c r="L15" s="13" t="s">
        <v>4</v>
      </c>
      <c r="M15" s="3"/>
      <c r="N15" s="15" t="s">
        <v>8</v>
      </c>
      <c r="O15" s="16" t="s">
        <v>9</v>
      </c>
      <c r="P15" s="16" t="s">
        <v>10</v>
      </c>
      <c r="Q15" s="16" t="s">
        <v>11</v>
      </c>
      <c r="R15" s="16" t="s">
        <v>12</v>
      </c>
      <c r="S15" s="16" t="s">
        <v>13</v>
      </c>
      <c r="T15" s="16" t="s">
        <v>14</v>
      </c>
      <c r="U15" s="16" t="s">
        <v>15</v>
      </c>
      <c r="V15" s="15" t="s">
        <v>16</v>
      </c>
      <c r="W15" s="5"/>
      <c r="X15" s="5"/>
      <c r="Y15" s="5"/>
    </row>
    <row r="16" spans="2:25" ht="81.95" customHeight="1">
      <c r="B16" s="35"/>
      <c r="C16" s="20"/>
      <c r="D16" s="21">
        <v>1</v>
      </c>
      <c r="E16" s="22">
        <v>2740</v>
      </c>
      <c r="F16" s="25">
        <f t="shared" ref="F16:F36" si="0">E16*D16</f>
        <v>2740</v>
      </c>
      <c r="G16" s="26"/>
      <c r="H16" s="27">
        <f t="shared" ref="H16:H36" si="1">G16*F16</f>
        <v>0</v>
      </c>
      <c r="I16" s="28" t="b">
        <f t="shared" ref="I16:I36" si="2">IF(C16=6,0.222,IF(C16=8,0.395,(IF(C16=10,0.617,(IF(C16=12,0.888,(IF(C16=14,1.21,(IF(C16=16,1.58,(IF(C16=18,2,(IF(C16=20,2.47,(IF(C16=22,2.98,(IF(C16=25,3.853,(IF(C16=28,4.83,(IF(C16=32,6.313,(IF(C16=36,7.99,(IF(C16=40,9.87,(IF(C16=45,12.5,(IF(C16=50,15.4))))))))))))))))))))))))))))))</f>
        <v>0</v>
      </c>
      <c r="J16" s="29">
        <f t="shared" ref="J16:J36" si="3">ROUND(H16*I16,2)</f>
        <v>0</v>
      </c>
      <c r="K16" s="4"/>
      <c r="L16" s="23"/>
      <c r="M16" s="3"/>
      <c r="N16" s="6">
        <v>33</v>
      </c>
      <c r="O16" s="6" t="s">
        <v>9</v>
      </c>
      <c r="P16" s="6"/>
      <c r="Q16" s="6"/>
      <c r="R16" s="6"/>
      <c r="S16" s="6"/>
      <c r="T16" s="6"/>
      <c r="U16" s="6"/>
      <c r="V16" s="7"/>
      <c r="W16" s="1" t="s">
        <v>34</v>
      </c>
    </row>
    <row r="17" spans="2:23" ht="147.6" customHeight="1">
      <c r="B17" s="35"/>
      <c r="C17" s="20"/>
      <c r="D17" s="21">
        <v>1</v>
      </c>
      <c r="E17" s="22">
        <v>1199</v>
      </c>
      <c r="F17" s="25">
        <f t="shared" si="0"/>
        <v>1199</v>
      </c>
      <c r="G17" s="26"/>
      <c r="H17" s="27">
        <f t="shared" si="1"/>
        <v>0</v>
      </c>
      <c r="I17" s="28" t="b">
        <f t="shared" si="2"/>
        <v>0</v>
      </c>
      <c r="J17" s="29">
        <f t="shared" si="3"/>
        <v>0</v>
      </c>
      <c r="K17" s="4"/>
      <c r="L17" s="23"/>
      <c r="M17" s="3"/>
      <c r="N17" s="6">
        <v>36</v>
      </c>
      <c r="O17" s="6" t="s">
        <v>9</v>
      </c>
      <c r="P17" s="6" t="s">
        <v>10</v>
      </c>
      <c r="Q17" s="6" t="s">
        <v>11</v>
      </c>
      <c r="R17" s="6" t="s">
        <v>12</v>
      </c>
      <c r="S17" s="6" t="s">
        <v>13</v>
      </c>
      <c r="T17" s="6"/>
      <c r="U17" s="6"/>
      <c r="V17" s="7"/>
      <c r="W17" s="1" t="s">
        <v>35</v>
      </c>
    </row>
    <row r="18" spans="2:23" ht="98.45" customHeight="1">
      <c r="B18" s="35"/>
      <c r="C18" s="20"/>
      <c r="D18" s="21">
        <v>1</v>
      </c>
      <c r="E18" s="22">
        <v>148</v>
      </c>
      <c r="F18" s="25">
        <f t="shared" si="0"/>
        <v>148</v>
      </c>
      <c r="G18" s="26"/>
      <c r="H18" s="27">
        <f t="shared" si="1"/>
        <v>0</v>
      </c>
      <c r="I18" s="28" t="b">
        <f t="shared" si="2"/>
        <v>0</v>
      </c>
      <c r="J18" s="29">
        <f t="shared" si="3"/>
        <v>0</v>
      </c>
      <c r="K18" s="4"/>
      <c r="L18" s="23"/>
      <c r="M18" s="3"/>
      <c r="N18" s="6">
        <v>37</v>
      </c>
      <c r="O18" s="6" t="s">
        <v>9</v>
      </c>
      <c r="P18" s="6" t="s">
        <v>10</v>
      </c>
      <c r="Q18" s="6" t="s">
        <v>11</v>
      </c>
      <c r="R18" s="6" t="s">
        <v>12</v>
      </c>
      <c r="S18" s="6" t="s">
        <v>13</v>
      </c>
      <c r="T18" s="6" t="s">
        <v>14</v>
      </c>
      <c r="U18" s="6"/>
      <c r="V18" s="7"/>
      <c r="W18" s="1" t="s">
        <v>36</v>
      </c>
    </row>
    <row r="19" spans="2:23" ht="98.45" customHeight="1">
      <c r="B19" s="35"/>
      <c r="C19" s="20"/>
      <c r="D19" s="21">
        <v>1</v>
      </c>
      <c r="E19" s="22">
        <v>12</v>
      </c>
      <c r="F19" s="25">
        <f t="shared" si="0"/>
        <v>12</v>
      </c>
      <c r="G19" s="26"/>
      <c r="H19" s="27">
        <f t="shared" si="1"/>
        <v>0</v>
      </c>
      <c r="I19" s="28" t="b">
        <f t="shared" si="2"/>
        <v>0</v>
      </c>
      <c r="J19" s="29">
        <f t="shared" si="3"/>
        <v>0</v>
      </c>
      <c r="K19" s="4"/>
      <c r="L19" s="23"/>
      <c r="M19" s="3"/>
      <c r="N19" s="6">
        <v>38</v>
      </c>
      <c r="O19" s="6" t="s">
        <v>9</v>
      </c>
      <c r="P19" s="6" t="s">
        <v>10</v>
      </c>
      <c r="Q19" s="6" t="s">
        <v>11</v>
      </c>
      <c r="R19" s="6" t="s">
        <v>12</v>
      </c>
      <c r="S19" s="6" t="s">
        <v>13</v>
      </c>
      <c r="T19" s="6" t="s">
        <v>14</v>
      </c>
      <c r="U19" s="6"/>
      <c r="V19" s="7"/>
      <c r="W19" s="1" t="s">
        <v>37</v>
      </c>
    </row>
    <row r="20" spans="2:23" ht="98.45" customHeight="1">
      <c r="B20" s="35"/>
      <c r="C20" s="20"/>
      <c r="D20" s="21">
        <v>1</v>
      </c>
      <c r="E20" s="22">
        <v>146</v>
      </c>
      <c r="F20" s="25">
        <f t="shared" si="0"/>
        <v>146</v>
      </c>
      <c r="G20" s="26">
        <v>10</v>
      </c>
      <c r="H20" s="27">
        <f t="shared" si="1"/>
        <v>1460</v>
      </c>
      <c r="I20" s="28" t="b">
        <f t="shared" si="2"/>
        <v>0</v>
      </c>
      <c r="J20" s="29">
        <f t="shared" si="3"/>
        <v>0</v>
      </c>
      <c r="K20" s="4"/>
      <c r="L20" s="23"/>
      <c r="M20" s="3"/>
      <c r="N20" s="6">
        <v>38</v>
      </c>
      <c r="O20" s="6">
        <v>1</v>
      </c>
      <c r="P20" s="6">
        <v>2</v>
      </c>
      <c r="Q20" s="6">
        <v>3</v>
      </c>
      <c r="R20" s="6">
        <v>4</v>
      </c>
      <c r="S20" s="6">
        <v>5</v>
      </c>
      <c r="T20" s="6">
        <v>6</v>
      </c>
      <c r="U20" s="6"/>
      <c r="V20" s="7"/>
      <c r="W20" s="1" t="s">
        <v>38</v>
      </c>
    </row>
    <row r="21" spans="2:23" ht="98.45" customHeight="1">
      <c r="B21" s="35"/>
      <c r="C21" s="20"/>
      <c r="D21" s="21">
        <v>1</v>
      </c>
      <c r="E21" s="22">
        <v>11</v>
      </c>
      <c r="F21" s="25">
        <f t="shared" si="0"/>
        <v>11</v>
      </c>
      <c r="G21" s="26">
        <v>10</v>
      </c>
      <c r="H21" s="27">
        <f t="shared" si="1"/>
        <v>110</v>
      </c>
      <c r="I21" s="28" t="b">
        <f t="shared" si="2"/>
        <v>0</v>
      </c>
      <c r="J21" s="29">
        <f t="shared" si="3"/>
        <v>0</v>
      </c>
      <c r="K21" s="4"/>
      <c r="L21" s="23"/>
      <c r="M21" s="3"/>
      <c r="N21" s="6">
        <v>37</v>
      </c>
      <c r="O21" s="6">
        <v>1</v>
      </c>
      <c r="P21" s="6">
        <v>2</v>
      </c>
      <c r="Q21" s="6">
        <v>3</v>
      </c>
      <c r="R21" s="6">
        <v>4</v>
      </c>
      <c r="S21" s="6">
        <v>5</v>
      </c>
      <c r="T21" s="6">
        <v>6</v>
      </c>
      <c r="U21" s="6"/>
      <c r="V21" s="7"/>
      <c r="W21" s="1" t="s">
        <v>39</v>
      </c>
    </row>
    <row r="22" spans="2:23" ht="81.95" customHeight="1">
      <c r="B22" s="35"/>
      <c r="C22" s="20"/>
      <c r="D22" s="21">
        <v>1</v>
      </c>
      <c r="E22" s="22">
        <v>12</v>
      </c>
      <c r="F22" s="25">
        <f t="shared" si="0"/>
        <v>12</v>
      </c>
      <c r="G22" s="26"/>
      <c r="H22" s="27">
        <f t="shared" si="1"/>
        <v>0</v>
      </c>
      <c r="I22" s="28" t="b">
        <f t="shared" si="2"/>
        <v>0</v>
      </c>
      <c r="J22" s="29">
        <f t="shared" si="3"/>
        <v>0</v>
      </c>
      <c r="K22" s="4"/>
      <c r="L22" s="23"/>
      <c r="M22" s="3"/>
      <c r="N22" s="6"/>
      <c r="O22" s="6"/>
      <c r="P22" s="6"/>
      <c r="Q22" s="6"/>
      <c r="R22" s="6"/>
      <c r="S22" s="6"/>
      <c r="T22" s="6"/>
      <c r="U22" s="6"/>
      <c r="V22" s="7"/>
    </row>
    <row r="23" spans="2:23" ht="98.45" customHeight="1">
      <c r="B23" s="35"/>
      <c r="C23" s="20"/>
      <c r="D23" s="21">
        <v>1</v>
      </c>
      <c r="E23" s="22">
        <v>12</v>
      </c>
      <c r="F23" s="25">
        <f t="shared" si="0"/>
        <v>12</v>
      </c>
      <c r="G23" s="26"/>
      <c r="H23" s="27">
        <f t="shared" si="1"/>
        <v>0</v>
      </c>
      <c r="I23" s="28" t="b">
        <f t="shared" si="2"/>
        <v>0</v>
      </c>
      <c r="J23" s="29">
        <f t="shared" si="3"/>
        <v>0</v>
      </c>
      <c r="K23" s="4"/>
      <c r="L23" s="23"/>
      <c r="M23" s="3"/>
      <c r="N23" s="6"/>
      <c r="O23" s="6"/>
      <c r="P23" s="6"/>
      <c r="Q23" s="6"/>
      <c r="R23" s="6"/>
      <c r="S23" s="6"/>
      <c r="T23" s="6"/>
      <c r="U23" s="6"/>
      <c r="V23" s="7"/>
    </row>
    <row r="24" spans="2:23" ht="98.45" customHeight="1">
      <c r="B24" s="35"/>
      <c r="C24" s="20"/>
      <c r="D24" s="21">
        <v>1</v>
      </c>
      <c r="E24" s="22">
        <v>11</v>
      </c>
      <c r="F24" s="25">
        <f t="shared" si="0"/>
        <v>11</v>
      </c>
      <c r="G24" s="26">
        <v>7</v>
      </c>
      <c r="H24" s="27">
        <f t="shared" si="1"/>
        <v>77</v>
      </c>
      <c r="I24" s="28" t="b">
        <f t="shared" si="2"/>
        <v>0</v>
      </c>
      <c r="J24" s="29">
        <f t="shared" si="3"/>
        <v>0</v>
      </c>
      <c r="K24" s="4"/>
      <c r="L24" s="23"/>
      <c r="M24" s="3"/>
      <c r="N24" s="6"/>
      <c r="O24" s="6"/>
      <c r="P24" s="6"/>
      <c r="Q24" s="6"/>
      <c r="R24" s="6"/>
      <c r="S24" s="6"/>
      <c r="T24" s="6"/>
      <c r="U24" s="6"/>
      <c r="V24" s="7"/>
    </row>
    <row r="25" spans="2:23" ht="98.45" customHeight="1">
      <c r="B25" s="35"/>
      <c r="C25" s="20"/>
      <c r="D25" s="21">
        <v>1</v>
      </c>
      <c r="E25" s="22">
        <v>12</v>
      </c>
      <c r="F25" s="25">
        <f t="shared" si="0"/>
        <v>12</v>
      </c>
      <c r="G25" s="26">
        <v>8.66</v>
      </c>
      <c r="H25" s="27">
        <f t="shared" si="1"/>
        <v>103.92</v>
      </c>
      <c r="I25" s="28" t="b">
        <f t="shared" si="2"/>
        <v>0</v>
      </c>
      <c r="J25" s="29">
        <f t="shared" si="3"/>
        <v>0</v>
      </c>
      <c r="K25" s="4"/>
      <c r="L25" s="23"/>
      <c r="M25" s="3"/>
      <c r="N25" s="6"/>
      <c r="O25" s="6"/>
      <c r="P25" s="6"/>
      <c r="Q25" s="6"/>
      <c r="R25" s="6"/>
      <c r="S25" s="6"/>
      <c r="T25" s="6"/>
      <c r="U25" s="6"/>
      <c r="V25" s="7"/>
    </row>
    <row r="26" spans="2:23" ht="98.45" customHeight="1">
      <c r="B26" s="35"/>
      <c r="C26" s="20"/>
      <c r="D26" s="21">
        <v>1</v>
      </c>
      <c r="E26" s="22">
        <v>17</v>
      </c>
      <c r="F26" s="25">
        <f t="shared" si="0"/>
        <v>17</v>
      </c>
      <c r="G26" s="26"/>
      <c r="H26" s="27">
        <f t="shared" si="1"/>
        <v>0</v>
      </c>
      <c r="I26" s="28" t="b">
        <f t="shared" si="2"/>
        <v>0</v>
      </c>
      <c r="J26" s="29">
        <f t="shared" si="3"/>
        <v>0</v>
      </c>
      <c r="K26" s="4"/>
      <c r="L26" s="23"/>
      <c r="M26" s="3"/>
      <c r="N26" s="6"/>
      <c r="O26" s="6"/>
      <c r="P26" s="6"/>
      <c r="Q26" s="6"/>
      <c r="R26" s="6"/>
      <c r="S26" s="6"/>
      <c r="T26" s="6"/>
      <c r="U26" s="6"/>
      <c r="V26" s="7"/>
    </row>
    <row r="27" spans="2:23" ht="98.45" customHeight="1">
      <c r="B27" s="35"/>
      <c r="C27" s="20"/>
      <c r="D27" s="21">
        <v>1</v>
      </c>
      <c r="E27" s="22">
        <v>17</v>
      </c>
      <c r="F27" s="25">
        <f t="shared" si="0"/>
        <v>17</v>
      </c>
      <c r="G27" s="26"/>
      <c r="H27" s="27">
        <f t="shared" si="1"/>
        <v>0</v>
      </c>
      <c r="I27" s="28" t="b">
        <f t="shared" si="2"/>
        <v>0</v>
      </c>
      <c r="J27" s="29">
        <f t="shared" si="3"/>
        <v>0</v>
      </c>
      <c r="K27" s="4"/>
      <c r="L27" s="23"/>
      <c r="M27" s="3"/>
      <c r="N27" s="6"/>
      <c r="O27" s="6"/>
      <c r="P27" s="6"/>
      <c r="Q27" s="6"/>
      <c r="R27" s="6"/>
      <c r="S27" s="6"/>
      <c r="T27" s="6"/>
      <c r="U27" s="6"/>
      <c r="V27" s="7"/>
    </row>
    <row r="28" spans="2:23" ht="98.45" customHeight="1">
      <c r="B28" s="35"/>
      <c r="C28" s="20"/>
      <c r="D28" s="21">
        <v>1</v>
      </c>
      <c r="E28" s="22">
        <v>136</v>
      </c>
      <c r="F28" s="25">
        <f t="shared" si="0"/>
        <v>136</v>
      </c>
      <c r="G28" s="26"/>
      <c r="H28" s="27">
        <f t="shared" si="1"/>
        <v>0</v>
      </c>
      <c r="I28" s="28" t="b">
        <f t="shared" si="2"/>
        <v>0</v>
      </c>
      <c r="J28" s="29">
        <f t="shared" si="3"/>
        <v>0</v>
      </c>
      <c r="K28" s="4"/>
      <c r="L28" s="23"/>
      <c r="M28" s="3"/>
      <c r="N28" s="6"/>
      <c r="O28" s="6"/>
      <c r="P28" s="6"/>
      <c r="Q28" s="6"/>
      <c r="R28" s="6"/>
      <c r="S28" s="6"/>
      <c r="T28" s="6"/>
      <c r="U28" s="6"/>
      <c r="V28" s="7"/>
    </row>
    <row r="29" spans="2:23" ht="81.95" customHeight="1">
      <c r="B29" s="35"/>
      <c r="C29" s="20"/>
      <c r="D29" s="21">
        <v>1</v>
      </c>
      <c r="E29" s="22">
        <v>180</v>
      </c>
      <c r="F29" s="25">
        <f t="shared" si="0"/>
        <v>180</v>
      </c>
      <c r="G29" s="26">
        <v>8.6</v>
      </c>
      <c r="H29" s="27">
        <f t="shared" si="1"/>
        <v>1548</v>
      </c>
      <c r="I29" s="28" t="b">
        <f t="shared" si="2"/>
        <v>0</v>
      </c>
      <c r="J29" s="29">
        <f t="shared" si="3"/>
        <v>0</v>
      </c>
      <c r="K29" s="4"/>
      <c r="L29" s="23"/>
      <c r="M29" s="3"/>
      <c r="N29" s="6"/>
      <c r="O29" s="6"/>
      <c r="P29" s="6"/>
      <c r="Q29" s="6"/>
      <c r="R29" s="6"/>
      <c r="S29" s="6"/>
      <c r="T29" s="6"/>
      <c r="U29" s="6"/>
      <c r="V29" s="7"/>
    </row>
    <row r="30" spans="2:23" ht="81.95" customHeight="1">
      <c r="B30" s="35"/>
      <c r="C30" s="20"/>
      <c r="D30" s="21">
        <v>1</v>
      </c>
      <c r="E30" s="22">
        <v>17</v>
      </c>
      <c r="F30" s="25">
        <f t="shared" si="0"/>
        <v>17</v>
      </c>
      <c r="G30" s="26">
        <v>5.0999999999999996</v>
      </c>
      <c r="H30" s="27">
        <f t="shared" si="1"/>
        <v>86.699999999999989</v>
      </c>
      <c r="I30" s="28" t="b">
        <f t="shared" si="2"/>
        <v>0</v>
      </c>
      <c r="J30" s="29">
        <f t="shared" si="3"/>
        <v>0</v>
      </c>
      <c r="K30" s="4"/>
      <c r="L30" s="23"/>
      <c r="M30" s="3"/>
      <c r="N30" s="6"/>
      <c r="O30" s="6"/>
      <c r="P30" s="6"/>
      <c r="Q30" s="6"/>
      <c r="R30" s="6"/>
      <c r="S30" s="6"/>
      <c r="T30" s="6"/>
      <c r="U30" s="6"/>
      <c r="V30" s="7"/>
    </row>
    <row r="31" spans="2:23" ht="81.95" customHeight="1">
      <c r="B31" s="35"/>
      <c r="C31" s="20"/>
      <c r="D31" s="21">
        <v>1</v>
      </c>
      <c r="E31" s="22">
        <v>45</v>
      </c>
      <c r="F31" s="25">
        <f t="shared" si="0"/>
        <v>45</v>
      </c>
      <c r="G31" s="26">
        <v>6.1</v>
      </c>
      <c r="H31" s="27">
        <f t="shared" si="1"/>
        <v>274.5</v>
      </c>
      <c r="I31" s="28" t="b">
        <f t="shared" si="2"/>
        <v>0</v>
      </c>
      <c r="J31" s="29">
        <f t="shared" si="3"/>
        <v>0</v>
      </c>
      <c r="K31" s="4"/>
      <c r="L31" s="23"/>
      <c r="M31" s="3"/>
      <c r="N31" s="6"/>
      <c r="O31" s="6"/>
      <c r="P31" s="6"/>
      <c r="Q31" s="6"/>
      <c r="R31" s="6"/>
      <c r="S31" s="6"/>
      <c r="T31" s="6"/>
      <c r="U31" s="6"/>
      <c r="V31" s="7"/>
    </row>
    <row r="32" spans="2:23" ht="81.95" customHeight="1">
      <c r="B32" s="35"/>
      <c r="C32" s="20"/>
      <c r="D32" s="21">
        <v>1</v>
      </c>
      <c r="E32" s="22">
        <v>45</v>
      </c>
      <c r="F32" s="25">
        <f t="shared" si="0"/>
        <v>45</v>
      </c>
      <c r="G32" s="26">
        <v>8.9499999999999993</v>
      </c>
      <c r="H32" s="27">
        <f t="shared" si="1"/>
        <v>402.74999999999994</v>
      </c>
      <c r="I32" s="28" t="b">
        <f t="shared" si="2"/>
        <v>0</v>
      </c>
      <c r="J32" s="29">
        <f t="shared" si="3"/>
        <v>0</v>
      </c>
      <c r="K32" s="4"/>
      <c r="L32" s="23"/>
      <c r="M32" s="3"/>
      <c r="N32" s="6"/>
      <c r="O32" s="6"/>
      <c r="P32" s="6"/>
      <c r="Q32" s="6"/>
      <c r="R32" s="6"/>
      <c r="S32" s="6"/>
      <c r="T32" s="6"/>
      <c r="U32" s="6"/>
      <c r="V32" s="7"/>
    </row>
    <row r="33" spans="2:22" ht="81.95" customHeight="1">
      <c r="B33" s="35"/>
      <c r="C33" s="20"/>
      <c r="D33" s="21">
        <v>1</v>
      </c>
      <c r="E33" s="22">
        <v>45</v>
      </c>
      <c r="F33" s="25">
        <f t="shared" si="0"/>
        <v>45</v>
      </c>
      <c r="G33" s="26">
        <v>8.35</v>
      </c>
      <c r="H33" s="27">
        <f t="shared" si="1"/>
        <v>375.75</v>
      </c>
      <c r="I33" s="28" t="b">
        <f t="shared" si="2"/>
        <v>0</v>
      </c>
      <c r="J33" s="29">
        <f t="shared" si="3"/>
        <v>0</v>
      </c>
      <c r="K33" s="4"/>
      <c r="L33" s="23"/>
      <c r="M33" s="3"/>
      <c r="N33" s="6"/>
      <c r="O33" s="6"/>
      <c r="P33" s="6"/>
      <c r="Q33" s="6"/>
      <c r="R33" s="6"/>
      <c r="S33" s="6"/>
      <c r="T33" s="6"/>
      <c r="U33" s="6"/>
      <c r="V33" s="7"/>
    </row>
    <row r="34" spans="2:22" ht="81.95" customHeight="1">
      <c r="B34" s="35"/>
      <c r="C34" s="20"/>
      <c r="D34" s="21">
        <v>1</v>
      </c>
      <c r="E34" s="22">
        <v>34</v>
      </c>
      <c r="F34" s="25">
        <f t="shared" si="0"/>
        <v>34</v>
      </c>
      <c r="G34" s="26">
        <v>8</v>
      </c>
      <c r="H34" s="27">
        <f t="shared" si="1"/>
        <v>272</v>
      </c>
      <c r="I34" s="28" t="b">
        <f t="shared" si="2"/>
        <v>0</v>
      </c>
      <c r="J34" s="29">
        <f t="shared" si="3"/>
        <v>0</v>
      </c>
      <c r="K34" s="4"/>
      <c r="L34" s="23"/>
      <c r="M34" s="3"/>
      <c r="N34" s="6"/>
      <c r="O34" s="6"/>
      <c r="P34" s="6"/>
      <c r="Q34" s="6"/>
      <c r="R34" s="6"/>
      <c r="S34" s="6"/>
      <c r="T34" s="6"/>
      <c r="U34" s="6"/>
      <c r="V34" s="7"/>
    </row>
    <row r="35" spans="2:22" ht="86.1" customHeight="1">
      <c r="B35" s="19"/>
      <c r="C35" s="20"/>
      <c r="D35" s="21">
        <v>1</v>
      </c>
      <c r="E35" s="22">
        <v>30</v>
      </c>
      <c r="F35" s="25">
        <f t="shared" si="0"/>
        <v>30</v>
      </c>
      <c r="G35" s="26">
        <v>8.65</v>
      </c>
      <c r="H35" s="27">
        <f t="shared" si="1"/>
        <v>259.5</v>
      </c>
      <c r="I35" s="28" t="b">
        <f t="shared" si="2"/>
        <v>0</v>
      </c>
      <c r="J35" s="29">
        <f t="shared" si="3"/>
        <v>0</v>
      </c>
      <c r="K35" s="4"/>
      <c r="L35" s="23"/>
      <c r="M35" s="3"/>
      <c r="N35" s="6"/>
      <c r="O35" s="6"/>
      <c r="P35" s="6"/>
      <c r="Q35" s="6"/>
      <c r="R35" s="6"/>
      <c r="S35" s="6"/>
      <c r="T35" s="6"/>
      <c r="U35" s="6"/>
      <c r="V35" s="7"/>
    </row>
    <row r="36" spans="2:22" ht="86.1" customHeight="1">
      <c r="B36" s="19"/>
      <c r="C36" s="20"/>
      <c r="D36" s="21">
        <v>1</v>
      </c>
      <c r="E36" s="22">
        <v>30</v>
      </c>
      <c r="F36" s="25">
        <f t="shared" si="0"/>
        <v>30</v>
      </c>
      <c r="G36" s="26">
        <v>9</v>
      </c>
      <c r="H36" s="27">
        <f t="shared" si="1"/>
        <v>270</v>
      </c>
      <c r="I36" s="28" t="b">
        <f t="shared" si="2"/>
        <v>0</v>
      </c>
      <c r="J36" s="29">
        <f t="shared" si="3"/>
        <v>0</v>
      </c>
      <c r="K36" s="4"/>
      <c r="L36" s="23"/>
      <c r="M36" s="3"/>
      <c r="N36" s="6"/>
      <c r="O36" s="6"/>
      <c r="P36" s="6"/>
      <c r="Q36" s="6"/>
      <c r="R36" s="6"/>
      <c r="S36" s="6"/>
      <c r="T36" s="6"/>
      <c r="U36" s="6"/>
      <c r="V36" s="7"/>
    </row>
    <row r="37" spans="2:22" ht="81.95" customHeight="1">
      <c r="B37" s="19"/>
      <c r="C37" s="20"/>
      <c r="D37" s="21">
        <v>1</v>
      </c>
      <c r="E37" s="22">
        <v>35</v>
      </c>
      <c r="F37" s="25">
        <f t="shared" ref="F37:F39" si="4">E37*D37</f>
        <v>35</v>
      </c>
      <c r="G37" s="26">
        <v>10.4</v>
      </c>
      <c r="H37" s="27">
        <f t="shared" ref="H37:H39" si="5">G37*F37</f>
        <v>364</v>
      </c>
      <c r="I37" s="28" t="b">
        <f t="shared" ref="I37:I39" si="6">IF(C37=6,0.222,IF(C37=8,0.395,(IF(C37=10,0.617,(IF(C37=12,0.888,(IF(C37=14,1.21,(IF(C37=16,1.58,(IF(C37=18,2,(IF(C37=20,2.47,(IF(C37=22,2.98,(IF(C37=25,3.853,(IF(C37=28,4.83,(IF(C37=32,6.313,(IF(C37=36,7.99,(IF(C37=40,9.87,(IF(C37=45,12.5,(IF(C37=50,15.4))))))))))))))))))))))))))))))</f>
        <v>0</v>
      </c>
      <c r="J37" s="29">
        <f t="shared" ref="J37:J39" si="7">ROUND(H37*I37,2)</f>
        <v>0</v>
      </c>
      <c r="K37" s="4"/>
      <c r="L37" s="23"/>
      <c r="M37" s="3"/>
      <c r="N37" s="6"/>
      <c r="O37" s="6"/>
      <c r="P37" s="6"/>
      <c r="Q37" s="6"/>
      <c r="R37" s="6"/>
      <c r="S37" s="6"/>
      <c r="T37" s="6"/>
      <c r="U37" s="6"/>
      <c r="V37" s="7"/>
    </row>
    <row r="38" spans="2:22" ht="81.95" customHeight="1">
      <c r="B38" s="19"/>
      <c r="C38" s="20"/>
      <c r="D38" s="21">
        <v>1</v>
      </c>
      <c r="E38" s="22">
        <v>35</v>
      </c>
      <c r="F38" s="25">
        <f t="shared" si="4"/>
        <v>35</v>
      </c>
      <c r="G38" s="26">
        <v>9.9499999999999993</v>
      </c>
      <c r="H38" s="27">
        <f t="shared" si="5"/>
        <v>348.25</v>
      </c>
      <c r="I38" s="28" t="b">
        <f t="shared" si="6"/>
        <v>0</v>
      </c>
      <c r="J38" s="29">
        <f t="shared" si="7"/>
        <v>0</v>
      </c>
      <c r="K38" s="4"/>
      <c r="L38" s="23"/>
      <c r="M38" s="3"/>
      <c r="N38" s="6"/>
      <c r="O38" s="6"/>
      <c r="P38" s="6"/>
      <c r="Q38" s="6"/>
      <c r="R38" s="6"/>
      <c r="S38" s="6"/>
      <c r="T38" s="6"/>
      <c r="U38" s="6"/>
      <c r="V38" s="7"/>
    </row>
    <row r="39" spans="2:22" ht="81.95" customHeight="1">
      <c r="B39" s="19"/>
      <c r="C39" s="20"/>
      <c r="D39" s="21">
        <v>1</v>
      </c>
      <c r="E39" s="22">
        <v>1</v>
      </c>
      <c r="F39" s="25">
        <f t="shared" si="4"/>
        <v>1</v>
      </c>
      <c r="G39" s="26">
        <v>7.87</v>
      </c>
      <c r="H39" s="27">
        <f t="shared" si="5"/>
        <v>7.87</v>
      </c>
      <c r="I39" s="28" t="b">
        <f t="shared" si="6"/>
        <v>0</v>
      </c>
      <c r="J39" s="29">
        <f t="shared" si="7"/>
        <v>0</v>
      </c>
      <c r="K39" s="4"/>
      <c r="L39" s="23"/>
      <c r="M39" s="3"/>
      <c r="N39" s="6"/>
      <c r="O39" s="6"/>
      <c r="P39" s="6"/>
      <c r="Q39" s="6"/>
      <c r="R39" s="6"/>
      <c r="S39" s="6"/>
      <c r="T39" s="6"/>
      <c r="U39" s="6"/>
      <c r="V39" s="7"/>
    </row>
    <row r="40" spans="2:22" ht="81.95" customHeight="1">
      <c r="B40" s="19"/>
      <c r="C40" s="20"/>
      <c r="D40" s="21">
        <v>1</v>
      </c>
      <c r="E40" s="22">
        <v>1</v>
      </c>
      <c r="F40" s="25">
        <f t="shared" ref="F40:F55" si="8">E40*D40</f>
        <v>1</v>
      </c>
      <c r="G40" s="26">
        <v>8.02</v>
      </c>
      <c r="H40" s="27">
        <f t="shared" ref="H40:H55" si="9">G40*F40</f>
        <v>8.02</v>
      </c>
      <c r="I40" s="28" t="b">
        <f t="shared" ref="I40:I55" si="10">IF(C40=6,0.222,IF(C40=8,0.395,(IF(C40=10,0.617,(IF(C40=12,0.888,(IF(C40=14,1.21,(IF(C40=16,1.58,(IF(C40=18,2,(IF(C40=20,2.47,(IF(C40=22,2.98,(IF(C40=25,3.853,(IF(C40=28,4.83,(IF(C40=32,6.313,(IF(C40=36,7.99,(IF(C40=40,9.87,(IF(C40=45,12.5,(IF(C40=50,15.4))))))))))))))))))))))))))))))</f>
        <v>0</v>
      </c>
      <c r="J40" s="29">
        <f t="shared" ref="J40:J55" si="11">ROUND(H40*I40,2)</f>
        <v>0</v>
      </c>
      <c r="K40" s="4"/>
      <c r="L40" s="23"/>
      <c r="M40" s="3"/>
      <c r="N40" s="6"/>
      <c r="O40" s="6"/>
      <c r="P40" s="6"/>
      <c r="Q40" s="6"/>
      <c r="R40" s="6"/>
      <c r="S40" s="6"/>
      <c r="T40" s="6"/>
      <c r="U40" s="6"/>
      <c r="V40" s="7"/>
    </row>
    <row r="41" spans="2:22" ht="81.95" customHeight="1">
      <c r="B41" s="19"/>
      <c r="C41" s="20"/>
      <c r="D41" s="21">
        <v>1</v>
      </c>
      <c r="E41" s="22">
        <v>1</v>
      </c>
      <c r="F41" s="25">
        <f t="shared" si="8"/>
        <v>1</v>
      </c>
      <c r="G41" s="26">
        <v>8.17</v>
      </c>
      <c r="H41" s="27">
        <f t="shared" si="9"/>
        <v>8.17</v>
      </c>
      <c r="I41" s="28" t="b">
        <f t="shared" si="10"/>
        <v>0</v>
      </c>
      <c r="J41" s="29">
        <f t="shared" si="11"/>
        <v>0</v>
      </c>
      <c r="K41" s="4"/>
      <c r="L41" s="23"/>
      <c r="M41" s="3"/>
      <c r="N41" s="6"/>
      <c r="O41" s="6"/>
      <c r="P41" s="6"/>
      <c r="Q41" s="6"/>
      <c r="R41" s="6"/>
      <c r="S41" s="6"/>
      <c r="T41" s="6"/>
      <c r="U41" s="6"/>
      <c r="V41" s="7"/>
    </row>
    <row r="42" spans="2:22" ht="81.95" customHeight="1">
      <c r="B42" s="19"/>
      <c r="C42" s="20"/>
      <c r="D42" s="21">
        <v>1</v>
      </c>
      <c r="E42" s="22">
        <v>1</v>
      </c>
      <c r="F42" s="25">
        <f t="shared" si="8"/>
        <v>1</v>
      </c>
      <c r="G42" s="26">
        <v>8.32</v>
      </c>
      <c r="H42" s="27">
        <f t="shared" si="9"/>
        <v>8.32</v>
      </c>
      <c r="I42" s="28" t="b">
        <f t="shared" si="10"/>
        <v>0</v>
      </c>
      <c r="J42" s="29">
        <f t="shared" si="11"/>
        <v>0</v>
      </c>
      <c r="K42" s="4"/>
      <c r="L42" s="23"/>
      <c r="M42" s="3"/>
      <c r="N42" s="6"/>
      <c r="O42" s="6"/>
      <c r="P42" s="6"/>
      <c r="Q42" s="6"/>
      <c r="R42" s="6"/>
      <c r="S42" s="6"/>
      <c r="T42" s="6"/>
      <c r="U42" s="6"/>
      <c r="V42" s="7"/>
    </row>
    <row r="43" spans="2:22" ht="81.95" customHeight="1">
      <c r="B43" s="19"/>
      <c r="C43" s="20"/>
      <c r="D43" s="21">
        <v>1</v>
      </c>
      <c r="E43" s="22">
        <v>1</v>
      </c>
      <c r="F43" s="25">
        <f t="shared" si="8"/>
        <v>1</v>
      </c>
      <c r="G43" s="26">
        <v>8.4700000000000006</v>
      </c>
      <c r="H43" s="27">
        <f t="shared" si="9"/>
        <v>8.4700000000000006</v>
      </c>
      <c r="I43" s="28" t="b">
        <f t="shared" si="10"/>
        <v>0</v>
      </c>
      <c r="J43" s="29">
        <f t="shared" si="11"/>
        <v>0</v>
      </c>
      <c r="K43" s="4"/>
      <c r="L43" s="23"/>
      <c r="M43" s="3"/>
      <c r="N43" s="6"/>
      <c r="O43" s="6"/>
      <c r="P43" s="6"/>
      <c r="Q43" s="6"/>
      <c r="R43" s="6"/>
      <c r="S43" s="6"/>
      <c r="T43" s="6"/>
      <c r="U43" s="6"/>
      <c r="V43" s="7"/>
    </row>
    <row r="44" spans="2:22" ht="81.95" customHeight="1">
      <c r="B44" s="19"/>
      <c r="C44" s="20"/>
      <c r="D44" s="21">
        <v>1</v>
      </c>
      <c r="E44" s="22">
        <v>1</v>
      </c>
      <c r="F44" s="25">
        <f t="shared" si="8"/>
        <v>1</v>
      </c>
      <c r="G44" s="26">
        <v>8.620000000000001</v>
      </c>
      <c r="H44" s="27">
        <f t="shared" si="9"/>
        <v>8.620000000000001</v>
      </c>
      <c r="I44" s="28" t="b">
        <f t="shared" si="10"/>
        <v>0</v>
      </c>
      <c r="J44" s="29">
        <f t="shared" si="11"/>
        <v>0</v>
      </c>
      <c r="K44" s="4"/>
      <c r="L44" s="23"/>
      <c r="M44" s="3"/>
      <c r="N44" s="6"/>
      <c r="O44" s="6"/>
      <c r="P44" s="6"/>
      <c r="Q44" s="6"/>
      <c r="R44" s="6"/>
      <c r="S44" s="6"/>
      <c r="T44" s="6"/>
      <c r="U44" s="6"/>
      <c r="V44" s="7"/>
    </row>
    <row r="45" spans="2:22" ht="81.95" customHeight="1">
      <c r="B45" s="19"/>
      <c r="C45" s="20"/>
      <c r="D45" s="21">
        <v>1</v>
      </c>
      <c r="E45" s="22">
        <v>1</v>
      </c>
      <c r="F45" s="25">
        <f t="shared" si="8"/>
        <v>1</v>
      </c>
      <c r="G45" s="26">
        <v>8.77</v>
      </c>
      <c r="H45" s="27">
        <f t="shared" si="9"/>
        <v>8.77</v>
      </c>
      <c r="I45" s="28" t="b">
        <f t="shared" si="10"/>
        <v>0</v>
      </c>
      <c r="J45" s="29">
        <f t="shared" si="11"/>
        <v>0</v>
      </c>
      <c r="K45" s="4"/>
      <c r="L45" s="23"/>
      <c r="M45" s="3"/>
      <c r="N45" s="6"/>
      <c r="O45" s="6"/>
      <c r="P45" s="6"/>
      <c r="Q45" s="6"/>
      <c r="R45" s="6"/>
      <c r="S45" s="6"/>
      <c r="T45" s="6"/>
      <c r="U45" s="6"/>
      <c r="V45" s="7"/>
    </row>
    <row r="46" spans="2:22" ht="81.95" customHeight="1">
      <c r="B46" s="19"/>
      <c r="C46" s="20"/>
      <c r="D46" s="21">
        <v>1</v>
      </c>
      <c r="E46" s="22">
        <v>1</v>
      </c>
      <c r="F46" s="25">
        <f t="shared" si="8"/>
        <v>1</v>
      </c>
      <c r="G46" s="26">
        <v>8.92</v>
      </c>
      <c r="H46" s="27">
        <f t="shared" si="9"/>
        <v>8.92</v>
      </c>
      <c r="I46" s="28" t="b">
        <f t="shared" si="10"/>
        <v>0</v>
      </c>
      <c r="J46" s="29">
        <f t="shared" si="11"/>
        <v>0</v>
      </c>
      <c r="K46" s="4"/>
      <c r="L46" s="23"/>
      <c r="M46" s="3"/>
      <c r="N46" s="6"/>
      <c r="O46" s="6"/>
      <c r="P46" s="6"/>
      <c r="Q46" s="6"/>
      <c r="R46" s="6"/>
      <c r="S46" s="6"/>
      <c r="T46" s="6"/>
      <c r="U46" s="6"/>
      <c r="V46" s="7"/>
    </row>
    <row r="47" spans="2:22" ht="81.95" customHeight="1">
      <c r="B47" s="19"/>
      <c r="C47" s="20"/>
      <c r="D47" s="21">
        <v>1</v>
      </c>
      <c r="E47" s="22">
        <v>1</v>
      </c>
      <c r="F47" s="25">
        <f t="shared" si="8"/>
        <v>1</v>
      </c>
      <c r="G47" s="26">
        <v>9.07</v>
      </c>
      <c r="H47" s="27">
        <f t="shared" si="9"/>
        <v>9.07</v>
      </c>
      <c r="I47" s="28" t="b">
        <f t="shared" si="10"/>
        <v>0</v>
      </c>
      <c r="J47" s="29">
        <f t="shared" si="11"/>
        <v>0</v>
      </c>
      <c r="K47" s="4"/>
      <c r="L47" s="23"/>
      <c r="M47" s="3"/>
      <c r="N47" s="6"/>
      <c r="O47" s="6"/>
      <c r="P47" s="6"/>
      <c r="Q47" s="6"/>
      <c r="R47" s="6"/>
      <c r="S47" s="6"/>
      <c r="T47" s="6"/>
      <c r="U47" s="6"/>
      <c r="V47" s="7"/>
    </row>
    <row r="48" spans="2:22" ht="81.95" customHeight="1">
      <c r="B48" s="19"/>
      <c r="C48" s="20"/>
      <c r="D48" s="21">
        <v>1</v>
      </c>
      <c r="E48" s="22">
        <v>1</v>
      </c>
      <c r="F48" s="25">
        <f t="shared" si="8"/>
        <v>1</v>
      </c>
      <c r="G48" s="26">
        <v>9.2200000000000006</v>
      </c>
      <c r="H48" s="27">
        <f t="shared" si="9"/>
        <v>9.2200000000000006</v>
      </c>
      <c r="I48" s="28" t="b">
        <f t="shared" si="10"/>
        <v>0</v>
      </c>
      <c r="J48" s="29">
        <f t="shared" si="11"/>
        <v>0</v>
      </c>
      <c r="K48" s="4"/>
      <c r="L48" s="23"/>
      <c r="M48" s="3"/>
      <c r="N48" s="6"/>
      <c r="O48" s="6"/>
      <c r="P48" s="6"/>
      <c r="Q48" s="6"/>
      <c r="R48" s="6"/>
      <c r="S48" s="6"/>
      <c r="T48" s="6"/>
      <c r="U48" s="6"/>
      <c r="V48" s="7"/>
    </row>
    <row r="49" spans="2:22" ht="81.95" customHeight="1">
      <c r="B49" s="19"/>
      <c r="C49" s="20"/>
      <c r="D49" s="21">
        <v>1</v>
      </c>
      <c r="E49" s="22">
        <v>1</v>
      </c>
      <c r="F49" s="25">
        <f t="shared" si="8"/>
        <v>1</v>
      </c>
      <c r="G49" s="26">
        <v>9.370000000000001</v>
      </c>
      <c r="H49" s="27">
        <f t="shared" si="9"/>
        <v>9.370000000000001</v>
      </c>
      <c r="I49" s="28" t="b">
        <f t="shared" si="10"/>
        <v>0</v>
      </c>
      <c r="J49" s="29">
        <f t="shared" si="11"/>
        <v>0</v>
      </c>
      <c r="K49" s="4"/>
      <c r="L49" s="23"/>
      <c r="M49" s="3"/>
      <c r="N49" s="6"/>
      <c r="O49" s="6"/>
      <c r="P49" s="6"/>
      <c r="Q49" s="6"/>
      <c r="R49" s="6"/>
      <c r="S49" s="6"/>
      <c r="T49" s="6"/>
      <c r="U49" s="6"/>
      <c r="V49" s="7"/>
    </row>
    <row r="50" spans="2:22" ht="81.95" customHeight="1">
      <c r="B50" s="19"/>
      <c r="C50" s="20"/>
      <c r="D50" s="21">
        <v>1</v>
      </c>
      <c r="E50" s="22">
        <v>1</v>
      </c>
      <c r="F50" s="25">
        <f t="shared" si="8"/>
        <v>1</v>
      </c>
      <c r="G50" s="26">
        <v>9.52</v>
      </c>
      <c r="H50" s="27">
        <f t="shared" si="9"/>
        <v>9.52</v>
      </c>
      <c r="I50" s="28" t="b">
        <f t="shared" si="10"/>
        <v>0</v>
      </c>
      <c r="J50" s="29">
        <f t="shared" si="11"/>
        <v>0</v>
      </c>
      <c r="K50" s="4"/>
      <c r="L50" s="23"/>
      <c r="M50" s="3"/>
      <c r="N50" s="6"/>
      <c r="O50" s="6"/>
      <c r="P50" s="6"/>
      <c r="Q50" s="6"/>
      <c r="R50" s="6"/>
      <c r="S50" s="6"/>
      <c r="T50" s="6"/>
      <c r="U50" s="6"/>
      <c r="V50" s="7"/>
    </row>
    <row r="51" spans="2:22" ht="81.95" customHeight="1">
      <c r="B51" s="19"/>
      <c r="C51" s="20"/>
      <c r="D51" s="21">
        <v>1</v>
      </c>
      <c r="E51" s="22">
        <v>1</v>
      </c>
      <c r="F51" s="25">
        <f t="shared" si="8"/>
        <v>1</v>
      </c>
      <c r="G51" s="26">
        <v>9.67</v>
      </c>
      <c r="H51" s="27">
        <f t="shared" si="9"/>
        <v>9.67</v>
      </c>
      <c r="I51" s="28" t="b">
        <f t="shared" si="10"/>
        <v>0</v>
      </c>
      <c r="J51" s="29">
        <f t="shared" si="11"/>
        <v>0</v>
      </c>
      <c r="K51" s="4"/>
      <c r="L51" s="23"/>
      <c r="M51" s="3"/>
      <c r="N51" s="6"/>
      <c r="O51" s="6"/>
      <c r="P51" s="6"/>
      <c r="Q51" s="6"/>
      <c r="R51" s="6"/>
      <c r="S51" s="6"/>
      <c r="T51" s="6"/>
      <c r="U51" s="6"/>
      <c r="V51" s="7"/>
    </row>
    <row r="52" spans="2:22" ht="81.95" customHeight="1">
      <c r="B52" s="19"/>
      <c r="C52" s="20"/>
      <c r="D52" s="21">
        <v>1</v>
      </c>
      <c r="E52" s="22">
        <v>1</v>
      </c>
      <c r="F52" s="25">
        <f t="shared" si="8"/>
        <v>1</v>
      </c>
      <c r="G52" s="26">
        <v>9.82</v>
      </c>
      <c r="H52" s="27">
        <f t="shared" si="9"/>
        <v>9.82</v>
      </c>
      <c r="I52" s="28" t="b">
        <f t="shared" si="10"/>
        <v>0</v>
      </c>
      <c r="J52" s="29">
        <f t="shared" si="11"/>
        <v>0</v>
      </c>
      <c r="K52" s="4"/>
      <c r="L52" s="23"/>
      <c r="M52" s="3"/>
      <c r="N52" s="6"/>
      <c r="O52" s="6"/>
      <c r="P52" s="6"/>
      <c r="Q52" s="6"/>
      <c r="R52" s="6"/>
      <c r="S52" s="6"/>
      <c r="T52" s="6"/>
      <c r="U52" s="6"/>
      <c r="V52" s="7"/>
    </row>
    <row r="53" spans="2:22" ht="81.95" customHeight="1">
      <c r="B53" s="19"/>
      <c r="C53" s="20"/>
      <c r="D53" s="21">
        <v>1</v>
      </c>
      <c r="E53" s="22">
        <v>1</v>
      </c>
      <c r="F53" s="25">
        <f t="shared" si="8"/>
        <v>1</v>
      </c>
      <c r="G53" s="26">
        <v>9.9700000000000006</v>
      </c>
      <c r="H53" s="27">
        <f t="shared" si="9"/>
        <v>9.9700000000000006</v>
      </c>
      <c r="I53" s="28" t="b">
        <f t="shared" si="10"/>
        <v>0</v>
      </c>
      <c r="J53" s="29">
        <f t="shared" si="11"/>
        <v>0</v>
      </c>
      <c r="K53" s="4"/>
      <c r="L53" s="23"/>
      <c r="M53" s="3"/>
      <c r="N53" s="6"/>
      <c r="O53" s="6"/>
      <c r="P53" s="6"/>
      <c r="Q53" s="6"/>
      <c r="R53" s="6"/>
      <c r="S53" s="6"/>
      <c r="T53" s="6"/>
      <c r="U53" s="6"/>
      <c r="V53" s="7"/>
    </row>
    <row r="54" spans="2:22" ht="81.95" customHeight="1">
      <c r="B54" s="19"/>
      <c r="C54" s="20"/>
      <c r="D54" s="21">
        <v>1</v>
      </c>
      <c r="E54" s="22">
        <v>1</v>
      </c>
      <c r="F54" s="25">
        <f t="shared" si="8"/>
        <v>1</v>
      </c>
      <c r="G54" s="26">
        <v>10.119999999999999</v>
      </c>
      <c r="H54" s="27">
        <f t="shared" si="9"/>
        <v>10.119999999999999</v>
      </c>
      <c r="I54" s="28" t="b">
        <f t="shared" si="10"/>
        <v>0</v>
      </c>
      <c r="J54" s="29">
        <f t="shared" si="11"/>
        <v>0</v>
      </c>
      <c r="K54" s="4"/>
      <c r="L54" s="23"/>
      <c r="M54" s="3"/>
      <c r="N54" s="6"/>
      <c r="O54" s="6"/>
      <c r="P54" s="6"/>
      <c r="Q54" s="6"/>
      <c r="R54" s="6"/>
      <c r="S54" s="6"/>
      <c r="T54" s="6"/>
      <c r="U54" s="6"/>
      <c r="V54" s="7"/>
    </row>
    <row r="55" spans="2:22" ht="81.95" customHeight="1">
      <c r="B55" s="19"/>
      <c r="C55" s="20"/>
      <c r="D55" s="21">
        <v>1</v>
      </c>
      <c r="E55" s="22">
        <v>1</v>
      </c>
      <c r="F55" s="25">
        <f t="shared" si="8"/>
        <v>1</v>
      </c>
      <c r="G55" s="26">
        <v>10.27</v>
      </c>
      <c r="H55" s="27">
        <f t="shared" si="9"/>
        <v>10.27</v>
      </c>
      <c r="I55" s="28" t="b">
        <f t="shared" si="10"/>
        <v>0</v>
      </c>
      <c r="J55" s="29">
        <f t="shared" si="11"/>
        <v>0</v>
      </c>
      <c r="K55" s="4"/>
      <c r="L55" s="23"/>
      <c r="M55" s="3"/>
      <c r="N55" s="6"/>
      <c r="O55" s="6"/>
      <c r="P55" s="6"/>
      <c r="Q55" s="6"/>
      <c r="R55" s="6"/>
      <c r="S55" s="6"/>
      <c r="T55" s="6"/>
      <c r="U55" s="6"/>
      <c r="V55" s="7"/>
    </row>
    <row r="56" spans="2:22" ht="81.95" customHeight="1">
      <c r="B56" s="19"/>
      <c r="C56" s="20"/>
      <c r="D56" s="21">
        <v>1</v>
      </c>
      <c r="E56" s="22">
        <v>1</v>
      </c>
      <c r="F56" s="25">
        <f t="shared" ref="F56:F73" si="12">E56*D56</f>
        <v>1</v>
      </c>
      <c r="G56" s="26">
        <v>7.46</v>
      </c>
      <c r="H56" s="27">
        <f t="shared" ref="H56:H73" si="13">G56*F56</f>
        <v>7.46</v>
      </c>
      <c r="I56" s="28" t="b">
        <f t="shared" ref="I56:I73" si="14">IF(C56=6,0.222,IF(C56=8,0.395,(IF(C56=10,0.617,(IF(C56=12,0.888,(IF(C56=14,1.21,(IF(C56=16,1.58,(IF(C56=18,2,(IF(C56=20,2.47,(IF(C56=22,2.98,(IF(C56=25,3.853,(IF(C56=28,4.83,(IF(C56=32,6.313,(IF(C56=36,7.99,(IF(C56=40,9.87,(IF(C56=45,12.5,(IF(C56=50,15.4))))))))))))))))))))))))))))))</f>
        <v>0</v>
      </c>
      <c r="J56" s="29">
        <f t="shared" ref="J56:J73" si="15">ROUND(H56*I56,2)</f>
        <v>0</v>
      </c>
      <c r="K56" s="4"/>
      <c r="L56" s="23"/>
      <c r="M56" s="3"/>
      <c r="N56" s="6"/>
      <c r="O56" s="6"/>
      <c r="P56" s="6"/>
      <c r="Q56" s="6"/>
      <c r="R56" s="6"/>
      <c r="S56" s="6"/>
      <c r="T56" s="6"/>
      <c r="U56" s="6"/>
      <c r="V56" s="7"/>
    </row>
    <row r="57" spans="2:22" ht="81.95" customHeight="1">
      <c r="B57" s="19"/>
      <c r="C57" s="20"/>
      <c r="D57" s="21">
        <v>1</v>
      </c>
      <c r="E57" s="22">
        <v>1</v>
      </c>
      <c r="F57" s="25">
        <f t="shared" si="12"/>
        <v>1</v>
      </c>
      <c r="G57" s="26">
        <v>7.6099999999999994</v>
      </c>
      <c r="H57" s="27">
        <f t="shared" si="13"/>
        <v>7.6099999999999994</v>
      </c>
      <c r="I57" s="28" t="b">
        <f t="shared" si="14"/>
        <v>0</v>
      </c>
      <c r="J57" s="29">
        <f t="shared" si="15"/>
        <v>0</v>
      </c>
      <c r="K57" s="4"/>
      <c r="L57" s="23"/>
      <c r="M57" s="3"/>
      <c r="N57" s="6"/>
      <c r="O57" s="6"/>
      <c r="P57" s="6"/>
      <c r="Q57" s="6"/>
      <c r="R57" s="6"/>
      <c r="S57" s="6"/>
      <c r="T57" s="6"/>
      <c r="U57" s="6"/>
      <c r="V57" s="7"/>
    </row>
    <row r="58" spans="2:22" ht="81.95" customHeight="1">
      <c r="B58" s="19"/>
      <c r="C58" s="20"/>
      <c r="D58" s="21">
        <v>1</v>
      </c>
      <c r="E58" s="22">
        <v>1</v>
      </c>
      <c r="F58" s="25">
        <f t="shared" si="12"/>
        <v>1</v>
      </c>
      <c r="G58" s="26">
        <v>7.76</v>
      </c>
      <c r="H58" s="27">
        <f t="shared" si="13"/>
        <v>7.76</v>
      </c>
      <c r="I58" s="28" t="b">
        <f t="shared" si="14"/>
        <v>0</v>
      </c>
      <c r="J58" s="29">
        <f t="shared" si="15"/>
        <v>0</v>
      </c>
      <c r="K58" s="4"/>
      <c r="L58" s="23"/>
      <c r="M58" s="3"/>
      <c r="N58" s="6"/>
      <c r="O58" s="6"/>
      <c r="P58" s="6"/>
      <c r="Q58" s="6"/>
      <c r="R58" s="6"/>
      <c r="S58" s="6"/>
      <c r="T58" s="6"/>
      <c r="U58" s="6"/>
      <c r="V58" s="7"/>
    </row>
    <row r="59" spans="2:22" ht="81.95" customHeight="1">
      <c r="B59" s="19"/>
      <c r="C59" s="20"/>
      <c r="D59" s="21">
        <v>1</v>
      </c>
      <c r="E59" s="22">
        <v>1</v>
      </c>
      <c r="F59" s="25">
        <f t="shared" si="12"/>
        <v>1</v>
      </c>
      <c r="G59" s="26">
        <v>7.9099999999999993</v>
      </c>
      <c r="H59" s="27">
        <f t="shared" si="13"/>
        <v>7.9099999999999993</v>
      </c>
      <c r="I59" s="28" t="b">
        <f t="shared" si="14"/>
        <v>0</v>
      </c>
      <c r="J59" s="29">
        <f t="shared" si="15"/>
        <v>0</v>
      </c>
      <c r="K59" s="4"/>
      <c r="L59" s="23"/>
      <c r="M59" s="3"/>
      <c r="N59" s="6"/>
      <c r="O59" s="6"/>
      <c r="P59" s="6"/>
      <c r="Q59" s="6"/>
      <c r="R59" s="6"/>
      <c r="S59" s="6"/>
      <c r="T59" s="6"/>
      <c r="U59" s="6"/>
      <c r="V59" s="7"/>
    </row>
    <row r="60" spans="2:22" ht="81.95" customHeight="1">
      <c r="B60" s="19"/>
      <c r="C60" s="20"/>
      <c r="D60" s="21">
        <v>1</v>
      </c>
      <c r="E60" s="22">
        <v>1</v>
      </c>
      <c r="F60" s="25">
        <f t="shared" si="12"/>
        <v>1</v>
      </c>
      <c r="G60" s="26">
        <v>8.06</v>
      </c>
      <c r="H60" s="27">
        <f t="shared" si="13"/>
        <v>8.06</v>
      </c>
      <c r="I60" s="28" t="b">
        <f t="shared" si="14"/>
        <v>0</v>
      </c>
      <c r="J60" s="29">
        <f t="shared" si="15"/>
        <v>0</v>
      </c>
      <c r="K60" s="4"/>
      <c r="L60" s="23"/>
      <c r="M60" s="3"/>
      <c r="N60" s="6"/>
      <c r="O60" s="6"/>
      <c r="P60" s="6"/>
      <c r="Q60" s="6"/>
      <c r="R60" s="6"/>
      <c r="S60" s="6"/>
      <c r="T60" s="6"/>
      <c r="U60" s="6"/>
      <c r="V60" s="7"/>
    </row>
    <row r="61" spans="2:22" ht="81.95" customHeight="1">
      <c r="B61" s="19"/>
      <c r="C61" s="20"/>
      <c r="D61" s="21">
        <v>1</v>
      </c>
      <c r="E61" s="22">
        <v>1</v>
      </c>
      <c r="F61" s="25">
        <f t="shared" si="12"/>
        <v>1</v>
      </c>
      <c r="G61" s="26">
        <v>8.2099999999999991</v>
      </c>
      <c r="H61" s="27">
        <f t="shared" si="13"/>
        <v>8.2099999999999991</v>
      </c>
      <c r="I61" s="28" t="b">
        <f t="shared" si="14"/>
        <v>0</v>
      </c>
      <c r="J61" s="29">
        <f t="shared" si="15"/>
        <v>0</v>
      </c>
      <c r="K61" s="4"/>
      <c r="L61" s="23"/>
      <c r="M61" s="3"/>
      <c r="N61" s="6"/>
      <c r="O61" s="6"/>
      <c r="P61" s="6"/>
      <c r="Q61" s="6"/>
      <c r="R61" s="6"/>
      <c r="S61" s="6"/>
      <c r="T61" s="6"/>
      <c r="U61" s="6"/>
      <c r="V61" s="7"/>
    </row>
    <row r="62" spans="2:22" ht="81.95" customHeight="1">
      <c r="B62" s="19"/>
      <c r="C62" s="20"/>
      <c r="D62" s="21">
        <v>1</v>
      </c>
      <c r="E62" s="22">
        <v>1</v>
      </c>
      <c r="F62" s="25">
        <f t="shared" si="12"/>
        <v>1</v>
      </c>
      <c r="G62" s="26">
        <v>8.36</v>
      </c>
      <c r="H62" s="27">
        <f t="shared" si="13"/>
        <v>8.36</v>
      </c>
      <c r="I62" s="28" t="b">
        <f t="shared" si="14"/>
        <v>0</v>
      </c>
      <c r="J62" s="29">
        <f t="shared" si="15"/>
        <v>0</v>
      </c>
      <c r="K62" s="4"/>
      <c r="L62" s="23"/>
      <c r="M62" s="3"/>
      <c r="N62" s="6"/>
      <c r="O62" s="6"/>
      <c r="P62" s="6"/>
      <c r="Q62" s="6"/>
      <c r="R62" s="6"/>
      <c r="S62" s="6"/>
      <c r="T62" s="6"/>
      <c r="U62" s="6"/>
      <c r="V62" s="7"/>
    </row>
    <row r="63" spans="2:22" ht="81.95" customHeight="1">
      <c r="B63" s="19"/>
      <c r="C63" s="20"/>
      <c r="D63" s="21">
        <v>1</v>
      </c>
      <c r="E63" s="22">
        <v>1</v>
      </c>
      <c r="F63" s="25">
        <f t="shared" si="12"/>
        <v>1</v>
      </c>
      <c r="G63" s="26">
        <v>8.51</v>
      </c>
      <c r="H63" s="27">
        <f t="shared" si="13"/>
        <v>8.51</v>
      </c>
      <c r="I63" s="28" t="b">
        <f t="shared" si="14"/>
        <v>0</v>
      </c>
      <c r="J63" s="29">
        <f t="shared" si="15"/>
        <v>0</v>
      </c>
      <c r="K63" s="4"/>
      <c r="L63" s="23"/>
      <c r="M63" s="3"/>
      <c r="N63" s="6"/>
      <c r="O63" s="6"/>
      <c r="P63" s="6"/>
      <c r="Q63" s="6"/>
      <c r="R63" s="6"/>
      <c r="S63" s="6"/>
      <c r="T63" s="6"/>
      <c r="U63" s="6"/>
      <c r="V63" s="7"/>
    </row>
    <row r="64" spans="2:22" ht="81.95" customHeight="1">
      <c r="B64" s="19"/>
      <c r="C64" s="20"/>
      <c r="D64" s="21">
        <v>1</v>
      </c>
      <c r="E64" s="22">
        <v>1</v>
      </c>
      <c r="F64" s="25">
        <f t="shared" si="12"/>
        <v>1</v>
      </c>
      <c r="G64" s="26">
        <v>8.66</v>
      </c>
      <c r="H64" s="27">
        <f t="shared" si="13"/>
        <v>8.66</v>
      </c>
      <c r="I64" s="28" t="b">
        <f t="shared" si="14"/>
        <v>0</v>
      </c>
      <c r="J64" s="29">
        <f t="shared" si="15"/>
        <v>0</v>
      </c>
      <c r="K64" s="4"/>
      <c r="L64" s="23"/>
      <c r="M64" s="3"/>
      <c r="N64" s="6"/>
      <c r="O64" s="6"/>
      <c r="P64" s="6"/>
      <c r="Q64" s="6"/>
      <c r="R64" s="6"/>
      <c r="S64" s="6"/>
      <c r="T64" s="6"/>
      <c r="U64" s="6"/>
      <c r="V64" s="7"/>
    </row>
    <row r="65" spans="2:22" ht="81.95" customHeight="1">
      <c r="B65" s="19"/>
      <c r="C65" s="20"/>
      <c r="D65" s="21">
        <v>1</v>
      </c>
      <c r="E65" s="22">
        <v>1</v>
      </c>
      <c r="F65" s="25">
        <f t="shared" si="12"/>
        <v>1</v>
      </c>
      <c r="G65" s="26">
        <v>8.81</v>
      </c>
      <c r="H65" s="27">
        <f t="shared" si="13"/>
        <v>8.81</v>
      </c>
      <c r="I65" s="28" t="b">
        <f t="shared" si="14"/>
        <v>0</v>
      </c>
      <c r="J65" s="29">
        <f t="shared" si="15"/>
        <v>0</v>
      </c>
      <c r="K65" s="4"/>
      <c r="L65" s="23"/>
      <c r="M65" s="3"/>
      <c r="N65" s="6"/>
      <c r="O65" s="6"/>
      <c r="P65" s="6"/>
      <c r="Q65" s="6"/>
      <c r="R65" s="6"/>
      <c r="S65" s="6"/>
      <c r="T65" s="6"/>
      <c r="U65" s="6"/>
      <c r="V65" s="7"/>
    </row>
    <row r="66" spans="2:22" ht="81.95" customHeight="1">
      <c r="B66" s="19"/>
      <c r="C66" s="20"/>
      <c r="D66" s="21">
        <v>1</v>
      </c>
      <c r="E66" s="22">
        <v>1</v>
      </c>
      <c r="F66" s="25">
        <f t="shared" si="12"/>
        <v>1</v>
      </c>
      <c r="G66" s="26">
        <v>8.9599999999999991</v>
      </c>
      <c r="H66" s="27">
        <f t="shared" si="13"/>
        <v>8.9599999999999991</v>
      </c>
      <c r="I66" s="28" t="b">
        <f t="shared" si="14"/>
        <v>0</v>
      </c>
      <c r="J66" s="29">
        <f t="shared" si="15"/>
        <v>0</v>
      </c>
      <c r="K66" s="4"/>
      <c r="L66" s="23"/>
      <c r="M66" s="3"/>
      <c r="N66" s="6"/>
      <c r="O66" s="6"/>
      <c r="P66" s="6"/>
      <c r="Q66" s="6"/>
      <c r="R66" s="6"/>
      <c r="S66" s="6"/>
      <c r="T66" s="6"/>
      <c r="U66" s="6"/>
      <c r="V66" s="7"/>
    </row>
    <row r="67" spans="2:22" ht="81.95" customHeight="1">
      <c r="B67" s="19"/>
      <c r="C67" s="20"/>
      <c r="D67" s="21">
        <v>1</v>
      </c>
      <c r="E67" s="22">
        <v>1</v>
      </c>
      <c r="F67" s="25">
        <f t="shared" si="12"/>
        <v>1</v>
      </c>
      <c r="G67" s="26">
        <v>9.11</v>
      </c>
      <c r="H67" s="27">
        <f t="shared" si="13"/>
        <v>9.11</v>
      </c>
      <c r="I67" s="28" t="b">
        <f t="shared" si="14"/>
        <v>0</v>
      </c>
      <c r="J67" s="29">
        <f t="shared" si="15"/>
        <v>0</v>
      </c>
      <c r="K67" s="4"/>
      <c r="L67" s="23"/>
      <c r="M67" s="3"/>
      <c r="N67" s="6"/>
      <c r="O67" s="6"/>
      <c r="P67" s="6"/>
      <c r="Q67" s="6"/>
      <c r="R67" s="6"/>
      <c r="S67" s="6"/>
      <c r="T67" s="6"/>
      <c r="U67" s="6"/>
      <c r="V67" s="7"/>
    </row>
    <row r="68" spans="2:22" ht="81.95" customHeight="1">
      <c r="B68" s="19"/>
      <c r="C68" s="20"/>
      <c r="D68" s="21">
        <v>1</v>
      </c>
      <c r="E68" s="22">
        <v>1</v>
      </c>
      <c r="F68" s="25">
        <f t="shared" si="12"/>
        <v>1</v>
      </c>
      <c r="G68" s="26">
        <v>9.26</v>
      </c>
      <c r="H68" s="27">
        <f t="shared" si="13"/>
        <v>9.26</v>
      </c>
      <c r="I68" s="28" t="b">
        <f t="shared" si="14"/>
        <v>0</v>
      </c>
      <c r="J68" s="29">
        <f t="shared" si="15"/>
        <v>0</v>
      </c>
      <c r="K68" s="4"/>
      <c r="L68" s="23"/>
      <c r="M68" s="3"/>
      <c r="N68" s="6"/>
      <c r="O68" s="6"/>
      <c r="P68" s="6"/>
      <c r="Q68" s="6"/>
      <c r="R68" s="6"/>
      <c r="S68" s="6"/>
      <c r="T68" s="6"/>
      <c r="U68" s="6"/>
      <c r="V68" s="7"/>
    </row>
    <row r="69" spans="2:22" ht="81.95" customHeight="1">
      <c r="B69" s="19"/>
      <c r="C69" s="20"/>
      <c r="D69" s="21">
        <v>1</v>
      </c>
      <c r="E69" s="22">
        <v>1</v>
      </c>
      <c r="F69" s="25">
        <f t="shared" si="12"/>
        <v>1</v>
      </c>
      <c r="G69" s="26">
        <v>9.41</v>
      </c>
      <c r="H69" s="27">
        <f t="shared" si="13"/>
        <v>9.41</v>
      </c>
      <c r="I69" s="28" t="b">
        <f t="shared" si="14"/>
        <v>0</v>
      </c>
      <c r="J69" s="29">
        <f t="shared" si="15"/>
        <v>0</v>
      </c>
      <c r="K69" s="4"/>
      <c r="L69" s="23"/>
      <c r="M69" s="3"/>
      <c r="N69" s="6"/>
      <c r="O69" s="6"/>
      <c r="P69" s="6"/>
      <c r="Q69" s="6"/>
      <c r="R69" s="6"/>
      <c r="S69" s="6"/>
      <c r="T69" s="6"/>
      <c r="U69" s="6"/>
      <c r="V69" s="7"/>
    </row>
    <row r="70" spans="2:22" ht="81.95" customHeight="1">
      <c r="B70" s="19"/>
      <c r="C70" s="20"/>
      <c r="D70" s="21">
        <v>1</v>
      </c>
      <c r="E70" s="22">
        <v>1</v>
      </c>
      <c r="F70" s="25">
        <f t="shared" si="12"/>
        <v>1</v>
      </c>
      <c r="G70" s="26">
        <v>9.56</v>
      </c>
      <c r="H70" s="27">
        <f t="shared" si="13"/>
        <v>9.56</v>
      </c>
      <c r="I70" s="28" t="b">
        <f t="shared" si="14"/>
        <v>0</v>
      </c>
      <c r="J70" s="29">
        <f t="shared" si="15"/>
        <v>0</v>
      </c>
      <c r="K70" s="4"/>
      <c r="L70" s="23"/>
      <c r="M70" s="3"/>
      <c r="N70" s="6"/>
      <c r="O70" s="6"/>
      <c r="P70" s="6"/>
      <c r="Q70" s="6"/>
      <c r="R70" s="6"/>
      <c r="S70" s="6"/>
      <c r="T70" s="6"/>
      <c r="U70" s="6"/>
      <c r="V70" s="7"/>
    </row>
    <row r="71" spans="2:22" ht="81.95" customHeight="1">
      <c r="B71" s="19"/>
      <c r="C71" s="20"/>
      <c r="D71" s="21">
        <v>1</v>
      </c>
      <c r="E71" s="22">
        <v>1</v>
      </c>
      <c r="F71" s="25">
        <f t="shared" si="12"/>
        <v>1</v>
      </c>
      <c r="G71" s="26">
        <v>9.7099999999999991</v>
      </c>
      <c r="H71" s="27">
        <f t="shared" si="13"/>
        <v>9.7099999999999991</v>
      </c>
      <c r="I71" s="28" t="b">
        <f t="shared" si="14"/>
        <v>0</v>
      </c>
      <c r="J71" s="29">
        <f t="shared" si="15"/>
        <v>0</v>
      </c>
      <c r="K71" s="4"/>
      <c r="L71" s="23"/>
      <c r="M71" s="3"/>
      <c r="N71" s="6"/>
      <c r="O71" s="6"/>
      <c r="P71" s="6"/>
      <c r="Q71" s="6"/>
      <c r="R71" s="6"/>
      <c r="S71" s="6"/>
      <c r="T71" s="6"/>
      <c r="U71" s="6"/>
      <c r="V71" s="7"/>
    </row>
    <row r="72" spans="2:22" ht="81.95" customHeight="1">
      <c r="B72" s="19"/>
      <c r="C72" s="20"/>
      <c r="D72" s="21">
        <v>1</v>
      </c>
      <c r="E72" s="22">
        <v>1</v>
      </c>
      <c r="F72" s="25">
        <f t="shared" si="12"/>
        <v>1</v>
      </c>
      <c r="G72" s="26">
        <v>9.86</v>
      </c>
      <c r="H72" s="27">
        <f t="shared" si="13"/>
        <v>9.86</v>
      </c>
      <c r="I72" s="28" t="b">
        <f t="shared" si="14"/>
        <v>0</v>
      </c>
      <c r="J72" s="29">
        <f t="shared" si="15"/>
        <v>0</v>
      </c>
      <c r="K72" s="4"/>
      <c r="L72" s="23"/>
      <c r="M72" s="3"/>
      <c r="N72" s="6"/>
      <c r="O72" s="6"/>
      <c r="P72" s="6"/>
      <c r="Q72" s="6"/>
      <c r="R72" s="6"/>
      <c r="S72" s="6"/>
      <c r="T72" s="6"/>
      <c r="U72" s="6"/>
      <c r="V72" s="7"/>
    </row>
    <row r="73" spans="2:22" ht="81.95" customHeight="1">
      <c r="B73" s="19"/>
      <c r="C73" s="20"/>
      <c r="D73" s="21">
        <v>1</v>
      </c>
      <c r="E73" s="22">
        <v>562</v>
      </c>
      <c r="F73" s="25">
        <f t="shared" si="12"/>
        <v>562</v>
      </c>
      <c r="G73" s="26">
        <v>4</v>
      </c>
      <c r="H73" s="27">
        <f t="shared" si="13"/>
        <v>2248</v>
      </c>
      <c r="I73" s="28" t="b">
        <f t="shared" si="14"/>
        <v>0</v>
      </c>
      <c r="J73" s="29">
        <f t="shared" si="15"/>
        <v>0</v>
      </c>
      <c r="K73" s="4"/>
      <c r="L73" s="23"/>
      <c r="M73" s="3"/>
      <c r="N73" s="6"/>
      <c r="O73" s="6"/>
      <c r="P73" s="6"/>
      <c r="Q73" s="6"/>
      <c r="R73" s="6"/>
      <c r="S73" s="6"/>
      <c r="T73" s="6"/>
      <c r="U73" s="6"/>
      <c r="V73" s="7"/>
    </row>
    <row r="74" spans="2:22" ht="106.7" customHeight="1">
      <c r="B74" s="19"/>
      <c r="C74" s="20"/>
      <c r="D74" s="21"/>
      <c r="E74" s="22"/>
      <c r="F74" s="25"/>
      <c r="G74" s="26"/>
      <c r="H74" s="27"/>
      <c r="I74" s="28"/>
      <c r="J74" s="29"/>
      <c r="K74" s="4"/>
      <c r="L74" s="23"/>
      <c r="M74" s="3"/>
      <c r="N74" s="6"/>
      <c r="O74" s="6"/>
      <c r="P74" s="6"/>
      <c r="Q74" s="6"/>
      <c r="R74" s="6"/>
      <c r="S74" s="6"/>
      <c r="T74" s="6"/>
      <c r="U74" s="6"/>
      <c r="V74" s="7"/>
    </row>
    <row r="75" spans="2:22" ht="81.95" customHeight="1">
      <c r="B75" s="19"/>
      <c r="C75" s="20"/>
      <c r="D75" s="21"/>
      <c r="E75" s="22"/>
      <c r="F75" s="25"/>
      <c r="G75" s="26"/>
      <c r="H75" s="27"/>
      <c r="I75" s="28"/>
      <c r="J75" s="29"/>
      <c r="K75" s="4"/>
      <c r="L75" s="23"/>
      <c r="M75" s="3"/>
      <c r="N75" s="6"/>
      <c r="O75" s="6"/>
      <c r="P75" s="6"/>
      <c r="Q75" s="6"/>
      <c r="R75" s="6"/>
      <c r="S75" s="6"/>
      <c r="T75" s="6"/>
      <c r="U75" s="6"/>
      <c r="V75" s="7"/>
    </row>
    <row r="76" spans="2:22" ht="81.95" customHeight="1">
      <c r="B76" s="19"/>
      <c r="C76" s="20"/>
      <c r="D76" s="21"/>
      <c r="E76" s="22"/>
      <c r="F76" s="25"/>
      <c r="G76" s="26"/>
      <c r="H76" s="27"/>
      <c r="I76" s="28"/>
      <c r="J76" s="29"/>
      <c r="K76" s="4"/>
      <c r="L76" s="23"/>
      <c r="M76" s="3"/>
      <c r="N76" s="6"/>
      <c r="O76" s="6"/>
      <c r="P76" s="6"/>
      <c r="Q76" s="6"/>
      <c r="R76" s="6"/>
      <c r="S76" s="6"/>
      <c r="T76" s="6"/>
      <c r="U76" s="6"/>
      <c r="V76" s="7"/>
    </row>
    <row r="77" spans="2:22" ht="81.95" customHeight="1">
      <c r="B77" s="19"/>
      <c r="C77" s="20"/>
      <c r="D77" s="21"/>
      <c r="E77" s="22"/>
      <c r="F77" s="25"/>
      <c r="G77" s="26"/>
      <c r="H77" s="27"/>
      <c r="I77" s="28"/>
      <c r="J77" s="29"/>
      <c r="K77" s="4"/>
      <c r="L77" s="23"/>
      <c r="M77" s="3"/>
      <c r="N77" s="6"/>
      <c r="O77" s="6"/>
      <c r="P77" s="6"/>
      <c r="Q77" s="6"/>
      <c r="R77" s="6"/>
      <c r="S77" s="6"/>
      <c r="T77" s="6"/>
      <c r="U77" s="6"/>
      <c r="V77" s="7"/>
    </row>
    <row r="78" spans="2:22" ht="81.95" customHeight="1">
      <c r="B78" s="19"/>
      <c r="C78" s="20"/>
      <c r="D78" s="21"/>
      <c r="E78" s="22"/>
      <c r="F78" s="25"/>
      <c r="G78" s="26"/>
      <c r="H78" s="27"/>
      <c r="I78" s="28"/>
      <c r="J78" s="29"/>
      <c r="K78" s="4"/>
      <c r="L78" s="23"/>
      <c r="M78" s="3"/>
      <c r="N78" s="6"/>
      <c r="O78" s="6"/>
      <c r="P78" s="6"/>
      <c r="Q78" s="6"/>
      <c r="R78" s="6"/>
      <c r="S78" s="6"/>
      <c r="T78" s="6"/>
      <c r="U78" s="6"/>
      <c r="V78" s="7"/>
    </row>
    <row r="79" spans="2:22" ht="81.95" customHeight="1">
      <c r="B79" s="19"/>
      <c r="C79" s="20"/>
      <c r="D79" s="21"/>
      <c r="E79" s="22"/>
      <c r="F79" s="25"/>
      <c r="G79" s="26"/>
      <c r="H79" s="27"/>
      <c r="I79" s="28"/>
      <c r="J79" s="29"/>
      <c r="K79" s="4"/>
      <c r="L79" s="23"/>
      <c r="M79" s="3"/>
      <c r="N79" s="6"/>
      <c r="O79" s="6"/>
      <c r="P79" s="6"/>
      <c r="Q79" s="6"/>
      <c r="R79" s="6"/>
      <c r="S79" s="6"/>
      <c r="T79" s="6"/>
      <c r="U79" s="6"/>
      <c r="V79" s="7"/>
    </row>
    <row r="80" spans="2:22" ht="81.95" customHeight="1">
      <c r="B80" s="19"/>
      <c r="C80" s="20"/>
      <c r="D80" s="21"/>
      <c r="E80" s="22"/>
      <c r="F80" s="25"/>
      <c r="G80" s="26"/>
      <c r="H80" s="27"/>
      <c r="I80" s="28"/>
      <c r="J80" s="29"/>
      <c r="K80" s="4"/>
      <c r="L80" s="23"/>
      <c r="M80" s="3"/>
      <c r="N80" s="6"/>
      <c r="O80" s="6"/>
      <c r="P80" s="6"/>
      <c r="Q80" s="6"/>
      <c r="R80" s="6"/>
      <c r="S80" s="6"/>
      <c r="T80" s="6"/>
      <c r="U80" s="6"/>
      <c r="V80" s="7"/>
    </row>
    <row r="81" spans="2:22" ht="81.95" customHeight="1">
      <c r="B81" s="19"/>
      <c r="C81" s="20"/>
      <c r="D81" s="21"/>
      <c r="E81" s="22"/>
      <c r="F81" s="25"/>
      <c r="G81" s="26"/>
      <c r="H81" s="27"/>
      <c r="I81" s="28"/>
      <c r="J81" s="29"/>
      <c r="K81" s="4"/>
      <c r="L81" s="23"/>
      <c r="M81" s="3"/>
      <c r="N81" s="6"/>
      <c r="O81" s="6"/>
      <c r="P81" s="6"/>
      <c r="Q81" s="6"/>
      <c r="R81" s="6"/>
      <c r="S81" s="6"/>
      <c r="T81" s="6"/>
      <c r="U81" s="6"/>
      <c r="V81" s="7"/>
    </row>
    <row r="82" spans="2:22" ht="81.95" customHeight="1">
      <c r="B82" s="19"/>
      <c r="C82" s="20"/>
      <c r="D82" s="21"/>
      <c r="E82" s="22"/>
      <c r="F82" s="25"/>
      <c r="G82" s="26"/>
      <c r="H82" s="27"/>
      <c r="I82" s="28"/>
      <c r="J82" s="29"/>
      <c r="K82" s="4"/>
      <c r="L82" s="23"/>
      <c r="M82" s="3"/>
      <c r="N82" s="6"/>
      <c r="O82" s="6"/>
      <c r="P82" s="6"/>
      <c r="Q82" s="6"/>
      <c r="R82" s="6"/>
      <c r="S82" s="6"/>
      <c r="T82" s="6"/>
      <c r="U82" s="6"/>
      <c r="V82" s="7"/>
    </row>
    <row r="83" spans="2:22" ht="81.95" customHeight="1">
      <c r="B83" s="19"/>
      <c r="C83" s="20"/>
      <c r="D83" s="21"/>
      <c r="E83" s="22"/>
      <c r="F83" s="25"/>
      <c r="G83" s="26"/>
      <c r="H83" s="27"/>
      <c r="I83" s="28"/>
      <c r="J83" s="29"/>
      <c r="K83" s="4"/>
      <c r="L83" s="23"/>
      <c r="M83" s="3"/>
      <c r="N83" s="6"/>
      <c r="O83" s="6"/>
      <c r="P83" s="6"/>
      <c r="Q83" s="6"/>
      <c r="R83" s="6"/>
      <c r="S83" s="6"/>
      <c r="T83" s="6"/>
      <c r="U83" s="6"/>
      <c r="V83" s="7"/>
    </row>
    <row r="84" spans="2:22" ht="81.95" customHeight="1">
      <c r="B84" s="19"/>
      <c r="C84" s="20"/>
      <c r="D84" s="21"/>
      <c r="E84" s="22"/>
      <c r="F84" s="25"/>
      <c r="G84" s="26"/>
      <c r="H84" s="27"/>
      <c r="I84" s="28"/>
      <c r="J84" s="29"/>
      <c r="K84" s="4"/>
      <c r="L84" s="23"/>
      <c r="M84" s="3"/>
      <c r="N84" s="6"/>
      <c r="O84" s="6"/>
      <c r="P84" s="6"/>
      <c r="Q84" s="6"/>
      <c r="R84" s="6"/>
      <c r="S84" s="6"/>
      <c r="T84" s="6"/>
      <c r="U84" s="6"/>
      <c r="V84" s="7"/>
    </row>
    <row r="85" spans="2:22" ht="81.95" customHeight="1">
      <c r="B85" s="19"/>
      <c r="C85" s="20"/>
      <c r="D85" s="21"/>
      <c r="E85" s="22"/>
      <c r="F85" s="25"/>
      <c r="G85" s="26"/>
      <c r="H85" s="27"/>
      <c r="I85" s="28"/>
      <c r="J85" s="29"/>
      <c r="K85" s="4"/>
      <c r="L85" s="23"/>
      <c r="M85" s="3"/>
      <c r="N85" s="6"/>
      <c r="O85" s="6"/>
      <c r="P85" s="6"/>
      <c r="Q85" s="6"/>
      <c r="R85" s="6"/>
      <c r="S85" s="6"/>
      <c r="T85" s="6"/>
      <c r="U85" s="6"/>
      <c r="V85" s="7"/>
    </row>
    <row r="86" spans="2:22" ht="81.95" customHeight="1">
      <c r="B86" s="19"/>
      <c r="C86" s="20"/>
      <c r="D86" s="21"/>
      <c r="E86" s="22"/>
      <c r="F86" s="25"/>
      <c r="G86" s="26"/>
      <c r="H86" s="27"/>
      <c r="I86" s="28"/>
      <c r="J86" s="29"/>
      <c r="K86" s="4"/>
      <c r="L86" s="23"/>
      <c r="M86" s="3"/>
      <c r="N86" s="6"/>
      <c r="O86" s="6"/>
      <c r="P86" s="6"/>
      <c r="Q86" s="6"/>
      <c r="R86" s="6"/>
      <c r="S86" s="6"/>
      <c r="T86" s="6"/>
      <c r="U86" s="6"/>
      <c r="V86" s="7"/>
    </row>
    <row r="87" spans="2:22" ht="81.95" customHeight="1">
      <c r="B87" s="19"/>
      <c r="C87" s="20"/>
      <c r="D87" s="21"/>
      <c r="E87" s="22"/>
      <c r="F87" s="25"/>
      <c r="G87" s="26"/>
      <c r="H87" s="27"/>
      <c r="I87" s="28"/>
      <c r="J87" s="29"/>
      <c r="K87" s="4"/>
      <c r="L87" s="23"/>
      <c r="M87" s="3"/>
      <c r="N87" s="6"/>
      <c r="O87" s="6"/>
      <c r="P87" s="6"/>
      <c r="Q87" s="6"/>
      <c r="R87" s="6"/>
      <c r="S87" s="6"/>
      <c r="T87" s="6"/>
      <c r="U87" s="6"/>
      <c r="V87" s="7"/>
    </row>
    <row r="88" spans="2:22" ht="81.95" customHeight="1">
      <c r="B88" s="19"/>
      <c r="C88" s="20"/>
      <c r="D88" s="21"/>
      <c r="E88" s="22"/>
      <c r="F88" s="25"/>
      <c r="G88" s="26"/>
      <c r="H88" s="27"/>
      <c r="I88" s="28"/>
      <c r="J88" s="29"/>
      <c r="K88" s="4"/>
      <c r="L88" s="23"/>
      <c r="M88" s="3"/>
      <c r="N88" s="6"/>
      <c r="O88" s="6"/>
      <c r="P88" s="6"/>
      <c r="Q88" s="6"/>
      <c r="R88" s="6"/>
      <c r="S88" s="6"/>
      <c r="T88" s="6"/>
      <c r="U88" s="6"/>
      <c r="V88" s="7"/>
    </row>
    <row r="89" spans="2:22" ht="81.95" customHeight="1">
      <c r="B89" s="19"/>
      <c r="C89" s="20"/>
      <c r="D89" s="21"/>
      <c r="E89" s="22"/>
      <c r="F89" s="25"/>
      <c r="G89" s="26"/>
      <c r="H89" s="27"/>
      <c r="I89" s="28"/>
      <c r="J89" s="29"/>
      <c r="K89" s="4"/>
      <c r="L89" s="23"/>
      <c r="M89" s="3"/>
      <c r="N89" s="6"/>
      <c r="O89" s="6"/>
      <c r="P89" s="6"/>
      <c r="Q89" s="6"/>
      <c r="R89" s="6"/>
      <c r="S89" s="6"/>
      <c r="T89" s="6"/>
      <c r="U89" s="6"/>
      <c r="V89" s="7"/>
    </row>
    <row r="90" spans="2:22" ht="81.95" customHeight="1">
      <c r="B90" s="19"/>
      <c r="C90" s="20"/>
      <c r="D90" s="21"/>
      <c r="E90" s="22"/>
      <c r="F90" s="25"/>
      <c r="G90" s="26"/>
      <c r="H90" s="27"/>
      <c r="I90" s="28"/>
      <c r="J90" s="29"/>
      <c r="K90" s="4"/>
      <c r="L90" s="23"/>
      <c r="M90" s="3"/>
      <c r="N90" s="6"/>
      <c r="O90" s="6"/>
      <c r="P90" s="6"/>
      <c r="Q90" s="6"/>
      <c r="R90" s="6"/>
      <c r="S90" s="6"/>
      <c r="T90" s="6"/>
      <c r="U90" s="6"/>
      <c r="V90" s="7"/>
    </row>
    <row r="91" spans="2:22" ht="81.95" customHeight="1">
      <c r="B91" s="19"/>
      <c r="C91" s="20"/>
      <c r="D91" s="21"/>
      <c r="E91" s="22"/>
      <c r="F91" s="25"/>
      <c r="G91" s="26"/>
      <c r="H91" s="27"/>
      <c r="I91" s="28"/>
      <c r="J91" s="29"/>
      <c r="K91" s="4"/>
      <c r="L91" s="23"/>
      <c r="M91" s="3"/>
      <c r="N91" s="6"/>
      <c r="O91" s="6"/>
      <c r="P91" s="6"/>
      <c r="Q91" s="6"/>
      <c r="R91" s="6"/>
      <c r="S91" s="6"/>
      <c r="T91" s="6"/>
      <c r="U91" s="6"/>
      <c r="V91" s="7"/>
    </row>
    <row r="92" spans="2:22" ht="81.95" customHeight="1">
      <c r="B92" s="19"/>
      <c r="C92" s="20"/>
      <c r="D92" s="21"/>
      <c r="E92" s="22"/>
      <c r="F92" s="25"/>
      <c r="G92" s="26"/>
      <c r="H92" s="27"/>
      <c r="I92" s="28"/>
      <c r="J92" s="29"/>
      <c r="K92" s="4"/>
      <c r="L92" s="23"/>
      <c r="M92" s="3"/>
      <c r="N92" s="6"/>
      <c r="O92" s="6"/>
      <c r="P92" s="6"/>
      <c r="Q92" s="6"/>
      <c r="R92" s="6"/>
      <c r="S92" s="6"/>
      <c r="T92" s="6"/>
      <c r="U92" s="6"/>
      <c r="V92" s="7"/>
    </row>
    <row r="93" spans="2:22" ht="81.95" customHeight="1">
      <c r="B93" s="19"/>
      <c r="C93" s="20"/>
      <c r="D93" s="21"/>
      <c r="E93" s="22"/>
      <c r="F93" s="25"/>
      <c r="G93" s="26"/>
      <c r="H93" s="27"/>
      <c r="I93" s="28"/>
      <c r="J93" s="29"/>
      <c r="K93" s="4"/>
      <c r="L93" s="23"/>
      <c r="M93" s="3"/>
      <c r="N93" s="6"/>
      <c r="O93" s="6"/>
      <c r="P93" s="6"/>
      <c r="Q93" s="6"/>
      <c r="R93" s="6"/>
      <c r="S93" s="6"/>
      <c r="T93" s="6"/>
      <c r="U93" s="6"/>
      <c r="V93" s="7"/>
    </row>
    <row r="94" spans="2:22" ht="81.95" customHeight="1">
      <c r="B94" s="19"/>
      <c r="C94" s="20"/>
      <c r="D94" s="21"/>
      <c r="E94" s="22"/>
      <c r="F94" s="25"/>
      <c r="G94" s="26"/>
      <c r="H94" s="27"/>
      <c r="I94" s="28"/>
      <c r="J94" s="29"/>
      <c r="K94" s="4"/>
      <c r="L94" s="23"/>
      <c r="M94" s="3"/>
      <c r="N94" s="6"/>
      <c r="O94" s="6"/>
      <c r="P94" s="6"/>
      <c r="Q94" s="6"/>
      <c r="R94" s="6"/>
      <c r="S94" s="6"/>
      <c r="T94" s="6"/>
      <c r="U94" s="6"/>
      <c r="V94" s="7"/>
    </row>
    <row r="95" spans="2:22" ht="81.95" customHeight="1">
      <c r="B95" s="19"/>
      <c r="C95" s="20"/>
      <c r="D95" s="21"/>
      <c r="E95" s="22"/>
      <c r="F95" s="25"/>
      <c r="G95" s="26"/>
      <c r="H95" s="27"/>
      <c r="I95" s="28"/>
      <c r="J95" s="29"/>
      <c r="K95" s="4"/>
      <c r="L95" s="23"/>
      <c r="M95" s="3"/>
      <c r="N95" s="6"/>
      <c r="O95" s="6"/>
      <c r="P95" s="6"/>
      <c r="Q95" s="6"/>
      <c r="R95" s="6"/>
      <c r="S95" s="6"/>
      <c r="T95" s="6"/>
      <c r="U95" s="6"/>
      <c r="V95" s="7"/>
    </row>
    <row r="96" spans="2:22" ht="81.95" customHeight="1">
      <c r="B96" s="19"/>
      <c r="C96" s="20"/>
      <c r="D96" s="21"/>
      <c r="E96" s="22"/>
      <c r="F96" s="25"/>
      <c r="G96" s="26"/>
      <c r="H96" s="27"/>
      <c r="I96" s="28"/>
      <c r="J96" s="29"/>
      <c r="K96" s="4"/>
      <c r="L96" s="23"/>
      <c r="M96" s="3"/>
      <c r="N96" s="6"/>
      <c r="O96" s="6"/>
      <c r="P96" s="6"/>
      <c r="Q96" s="6"/>
      <c r="R96" s="6"/>
      <c r="S96" s="6"/>
      <c r="T96" s="6"/>
      <c r="U96" s="6"/>
      <c r="V96" s="7"/>
    </row>
    <row r="97" spans="2:22" ht="81.95" customHeight="1">
      <c r="B97" s="19"/>
      <c r="C97" s="20"/>
      <c r="D97" s="21"/>
      <c r="E97" s="22"/>
      <c r="F97" s="25"/>
      <c r="G97" s="26"/>
      <c r="H97" s="27"/>
      <c r="I97" s="28"/>
      <c r="J97" s="29"/>
      <c r="K97" s="4"/>
      <c r="L97" s="23"/>
      <c r="M97" s="3"/>
      <c r="N97" s="6"/>
      <c r="O97" s="6"/>
      <c r="P97" s="6"/>
      <c r="Q97" s="6"/>
      <c r="R97" s="6"/>
      <c r="S97" s="6"/>
      <c r="T97" s="6"/>
      <c r="U97" s="6"/>
      <c r="V97" s="7"/>
    </row>
    <row r="98" spans="2:22" ht="81.95" customHeight="1">
      <c r="B98" s="19"/>
      <c r="C98" s="20"/>
      <c r="D98" s="21"/>
      <c r="E98" s="22"/>
      <c r="F98" s="25"/>
      <c r="G98" s="26"/>
      <c r="H98" s="27"/>
      <c r="I98" s="28"/>
      <c r="J98" s="29"/>
      <c r="K98" s="4"/>
      <c r="L98" s="23"/>
      <c r="M98" s="3"/>
      <c r="N98" s="6"/>
      <c r="O98" s="6"/>
      <c r="P98" s="6"/>
      <c r="Q98" s="6"/>
      <c r="R98" s="6"/>
      <c r="S98" s="6"/>
      <c r="T98" s="6"/>
      <c r="U98" s="6"/>
      <c r="V98" s="7"/>
    </row>
    <row r="99" spans="2:22" ht="81.95" customHeight="1">
      <c r="B99" s="19"/>
      <c r="C99" s="20"/>
      <c r="D99" s="21"/>
      <c r="E99" s="22"/>
      <c r="F99" s="25"/>
      <c r="G99" s="26"/>
      <c r="H99" s="27"/>
      <c r="I99" s="28"/>
      <c r="J99" s="29"/>
      <c r="K99" s="4"/>
      <c r="L99" s="23"/>
      <c r="M99" s="3"/>
      <c r="N99" s="6"/>
      <c r="O99" s="6"/>
      <c r="P99" s="6"/>
      <c r="Q99" s="6"/>
      <c r="R99" s="6"/>
      <c r="S99" s="6"/>
      <c r="T99" s="6"/>
      <c r="U99" s="6"/>
      <c r="V99" s="7"/>
    </row>
    <row r="100" spans="2:22" ht="81.95" customHeight="1">
      <c r="B100" s="19"/>
      <c r="C100" s="20"/>
      <c r="D100" s="21"/>
      <c r="E100" s="22"/>
      <c r="F100" s="25"/>
      <c r="G100" s="26"/>
      <c r="H100" s="27"/>
      <c r="I100" s="28"/>
      <c r="J100" s="29"/>
      <c r="K100" s="4"/>
      <c r="L100" s="23"/>
      <c r="M100" s="3"/>
      <c r="N100" s="6"/>
      <c r="O100" s="6"/>
      <c r="P100" s="6"/>
      <c r="Q100" s="6"/>
      <c r="R100" s="6"/>
      <c r="S100" s="6"/>
      <c r="T100" s="6"/>
      <c r="U100" s="6"/>
      <c r="V100" s="7"/>
    </row>
    <row r="101" spans="2:22" ht="81.95" customHeight="1">
      <c r="B101" s="19"/>
      <c r="C101" s="20"/>
      <c r="D101" s="21"/>
      <c r="E101" s="22"/>
      <c r="F101" s="25"/>
      <c r="G101" s="26"/>
      <c r="H101" s="27"/>
      <c r="I101" s="28"/>
      <c r="J101" s="29"/>
      <c r="K101" s="4"/>
      <c r="L101" s="23"/>
      <c r="M101" s="3"/>
      <c r="N101" s="6"/>
      <c r="O101" s="6"/>
      <c r="P101" s="6"/>
      <c r="Q101" s="6"/>
      <c r="R101" s="6"/>
      <c r="S101" s="6"/>
      <c r="T101" s="6"/>
      <c r="U101" s="6"/>
      <c r="V101" s="7"/>
    </row>
    <row r="102" spans="2:22" ht="81.95" customHeight="1">
      <c r="B102" s="19"/>
      <c r="C102" s="20"/>
      <c r="D102" s="21"/>
      <c r="E102" s="22"/>
      <c r="F102" s="25"/>
      <c r="G102" s="26"/>
      <c r="H102" s="27"/>
      <c r="I102" s="28"/>
      <c r="J102" s="29"/>
      <c r="K102" s="4"/>
      <c r="L102" s="23"/>
      <c r="M102" s="3"/>
      <c r="N102" s="6"/>
      <c r="O102" s="6"/>
      <c r="P102" s="6"/>
      <c r="Q102" s="6"/>
      <c r="R102" s="6"/>
      <c r="S102" s="6"/>
      <c r="T102" s="6"/>
      <c r="U102" s="6"/>
      <c r="V102" s="7"/>
    </row>
    <row r="103" spans="2:22" ht="81.95" customHeight="1">
      <c r="B103" s="19"/>
      <c r="C103" s="20"/>
      <c r="D103" s="21"/>
      <c r="E103" s="22"/>
      <c r="F103" s="25"/>
      <c r="G103" s="26"/>
      <c r="H103" s="27"/>
      <c r="I103" s="28"/>
      <c r="J103" s="29"/>
      <c r="K103" s="4"/>
      <c r="L103" s="23"/>
      <c r="M103" s="3"/>
      <c r="N103" s="6"/>
      <c r="O103" s="6"/>
      <c r="P103" s="6"/>
      <c r="Q103" s="6"/>
      <c r="R103" s="6"/>
      <c r="S103" s="6"/>
      <c r="T103" s="6"/>
      <c r="U103" s="6"/>
      <c r="V103" s="7"/>
    </row>
    <row r="104" spans="2:22" ht="81.95" customHeight="1">
      <c r="B104" s="19"/>
      <c r="C104" s="20"/>
      <c r="D104" s="21"/>
      <c r="E104" s="22"/>
      <c r="F104" s="25"/>
      <c r="G104" s="26"/>
      <c r="H104" s="27"/>
      <c r="I104" s="28"/>
      <c r="J104" s="29"/>
      <c r="K104" s="4"/>
      <c r="L104" s="23"/>
      <c r="M104" s="3"/>
      <c r="N104" s="6"/>
      <c r="O104" s="6"/>
      <c r="P104" s="6"/>
      <c r="Q104" s="6"/>
      <c r="R104" s="6"/>
      <c r="S104" s="6"/>
      <c r="T104" s="6"/>
      <c r="U104" s="6"/>
      <c r="V104" s="7"/>
    </row>
    <row r="105" spans="2:22" ht="81.95" customHeight="1">
      <c r="B105" s="19"/>
      <c r="C105" s="20"/>
      <c r="D105" s="21"/>
      <c r="E105" s="22"/>
      <c r="F105" s="25"/>
      <c r="G105" s="26"/>
      <c r="H105" s="27"/>
      <c r="I105" s="28"/>
      <c r="J105" s="29"/>
      <c r="K105" s="4"/>
      <c r="L105" s="23"/>
      <c r="M105" s="3"/>
      <c r="N105" s="6"/>
      <c r="O105" s="6"/>
      <c r="P105" s="6"/>
      <c r="Q105" s="6"/>
      <c r="R105" s="6"/>
      <c r="S105" s="6"/>
      <c r="T105" s="6"/>
      <c r="U105" s="6"/>
      <c r="V105" s="7"/>
    </row>
    <row r="106" spans="2:22" ht="81.95" customHeight="1">
      <c r="B106" s="19"/>
      <c r="C106" s="20"/>
      <c r="D106" s="21"/>
      <c r="E106" s="22"/>
      <c r="F106" s="25"/>
      <c r="G106" s="26"/>
      <c r="H106" s="27"/>
      <c r="I106" s="28"/>
      <c r="J106" s="29"/>
      <c r="K106" s="4"/>
      <c r="L106" s="23"/>
      <c r="M106" s="3"/>
      <c r="N106" s="6"/>
      <c r="O106" s="6"/>
      <c r="P106" s="6"/>
      <c r="Q106" s="6"/>
      <c r="R106" s="6"/>
      <c r="S106" s="6"/>
      <c r="T106" s="6"/>
      <c r="U106" s="6"/>
      <c r="V106" s="7"/>
    </row>
    <row r="107" spans="2:22" ht="81.95" customHeight="1">
      <c r="B107" s="19"/>
      <c r="C107" s="20"/>
      <c r="D107" s="21"/>
      <c r="E107" s="22"/>
      <c r="F107" s="25"/>
      <c r="G107" s="26"/>
      <c r="H107" s="27"/>
      <c r="I107" s="28"/>
      <c r="J107" s="29"/>
      <c r="K107" s="4"/>
      <c r="L107" s="23"/>
      <c r="M107" s="3"/>
      <c r="N107" s="6"/>
      <c r="O107" s="6"/>
      <c r="P107" s="6"/>
      <c r="Q107" s="6"/>
      <c r="R107" s="6"/>
      <c r="S107" s="6"/>
      <c r="T107" s="6"/>
      <c r="U107" s="6"/>
      <c r="V107" s="7"/>
    </row>
    <row r="108" spans="2:22" ht="81.95" customHeight="1">
      <c r="B108" s="19"/>
      <c r="C108" s="20"/>
      <c r="D108" s="21"/>
      <c r="E108" s="22"/>
      <c r="F108" s="25"/>
      <c r="G108" s="26"/>
      <c r="H108" s="27"/>
      <c r="I108" s="28"/>
      <c r="J108" s="29"/>
      <c r="K108" s="4"/>
      <c r="L108" s="23"/>
      <c r="M108" s="3"/>
      <c r="N108" s="6"/>
      <c r="O108" s="6"/>
      <c r="P108" s="6"/>
      <c r="Q108" s="6"/>
      <c r="R108" s="6"/>
      <c r="S108" s="6"/>
      <c r="T108" s="6"/>
      <c r="U108" s="6"/>
      <c r="V108" s="7"/>
    </row>
    <row r="109" spans="2:22" ht="81.95" customHeight="1">
      <c r="B109" s="19"/>
      <c r="C109" s="20"/>
      <c r="D109" s="21"/>
      <c r="E109" s="22"/>
      <c r="F109" s="25"/>
      <c r="G109" s="26"/>
      <c r="H109" s="27"/>
      <c r="I109" s="28"/>
      <c r="J109" s="29"/>
      <c r="K109" s="4"/>
      <c r="L109" s="23"/>
      <c r="M109" s="3"/>
      <c r="N109" s="6"/>
      <c r="O109" s="6"/>
      <c r="P109" s="6"/>
      <c r="Q109" s="6"/>
      <c r="R109" s="6"/>
      <c r="S109" s="6"/>
      <c r="T109" s="6"/>
      <c r="U109" s="6"/>
      <c r="V109" s="7"/>
    </row>
    <row r="110" spans="2:22" ht="81.95" customHeight="1">
      <c r="B110" s="19"/>
      <c r="C110" s="20"/>
      <c r="D110" s="21"/>
      <c r="E110" s="22"/>
      <c r="F110" s="25"/>
      <c r="G110" s="26"/>
      <c r="H110" s="27"/>
      <c r="I110" s="28"/>
      <c r="J110" s="29"/>
      <c r="K110" s="4"/>
      <c r="L110" s="23"/>
      <c r="M110" s="3"/>
      <c r="N110" s="6"/>
      <c r="O110" s="6"/>
      <c r="P110" s="6"/>
      <c r="Q110" s="6"/>
      <c r="R110" s="6"/>
      <c r="S110" s="6"/>
      <c r="T110" s="6"/>
      <c r="U110" s="6"/>
      <c r="V110" s="7"/>
    </row>
    <row r="111" spans="2:22" ht="81.95" customHeight="1">
      <c r="B111" s="19"/>
      <c r="C111" s="20"/>
      <c r="D111" s="21"/>
      <c r="E111" s="22"/>
      <c r="F111" s="25"/>
      <c r="G111" s="26"/>
      <c r="H111" s="27"/>
      <c r="I111" s="28"/>
      <c r="J111" s="29"/>
      <c r="K111" s="4"/>
      <c r="L111" s="23"/>
      <c r="M111" s="3"/>
      <c r="N111" s="6"/>
      <c r="O111" s="6"/>
      <c r="P111" s="6"/>
      <c r="Q111" s="6"/>
      <c r="R111" s="6"/>
      <c r="S111" s="6"/>
      <c r="T111" s="6"/>
      <c r="U111" s="6"/>
      <c r="V111" s="7"/>
    </row>
    <row r="112" spans="2:22" ht="81.95" customHeight="1">
      <c r="B112" s="19"/>
      <c r="C112" s="20"/>
      <c r="D112" s="21"/>
      <c r="E112" s="22"/>
      <c r="F112" s="25"/>
      <c r="G112" s="26"/>
      <c r="H112" s="27"/>
      <c r="I112" s="28"/>
      <c r="J112" s="29"/>
      <c r="K112" s="4"/>
      <c r="L112" s="23"/>
      <c r="M112" s="3"/>
      <c r="N112" s="6"/>
      <c r="O112" s="6"/>
      <c r="P112" s="6"/>
      <c r="Q112" s="6"/>
      <c r="R112" s="6"/>
      <c r="S112" s="6"/>
      <c r="T112" s="6"/>
      <c r="U112" s="6"/>
      <c r="V112" s="7"/>
    </row>
    <row r="113" spans="2:22" ht="81.95" customHeight="1">
      <c r="B113" s="19"/>
      <c r="C113" s="20"/>
      <c r="D113" s="21"/>
      <c r="E113" s="22"/>
      <c r="F113" s="25"/>
      <c r="G113" s="26"/>
      <c r="H113" s="27"/>
      <c r="I113" s="28"/>
      <c r="J113" s="29"/>
      <c r="K113" s="4"/>
      <c r="L113" s="23"/>
      <c r="M113" s="3"/>
      <c r="N113" s="6"/>
      <c r="O113" s="6"/>
      <c r="P113" s="6"/>
      <c r="Q113" s="6"/>
      <c r="R113" s="6"/>
      <c r="S113" s="6"/>
      <c r="T113" s="6"/>
      <c r="U113" s="6"/>
      <c r="V113" s="7"/>
    </row>
    <row r="114" spans="2:22" ht="81.95" customHeight="1">
      <c r="B114" s="19"/>
      <c r="C114" s="20"/>
      <c r="D114" s="21"/>
      <c r="E114" s="22"/>
      <c r="F114" s="25"/>
      <c r="G114" s="26"/>
      <c r="H114" s="27"/>
      <c r="I114" s="28"/>
      <c r="J114" s="29"/>
      <c r="K114" s="4"/>
      <c r="L114" s="23"/>
      <c r="M114" s="3"/>
      <c r="N114" s="6"/>
      <c r="O114" s="6"/>
      <c r="P114" s="6"/>
      <c r="Q114" s="6"/>
      <c r="R114" s="6"/>
      <c r="S114" s="6"/>
      <c r="T114" s="6"/>
      <c r="U114" s="6"/>
      <c r="V114" s="7"/>
    </row>
    <row r="115" spans="2:22" ht="81.95" customHeight="1">
      <c r="B115" s="19"/>
      <c r="C115" s="20"/>
      <c r="D115" s="21"/>
      <c r="E115" s="22"/>
      <c r="F115" s="25"/>
      <c r="G115" s="26"/>
      <c r="H115" s="27"/>
      <c r="I115" s="28"/>
      <c r="J115" s="29"/>
      <c r="K115" s="4"/>
      <c r="L115" s="23"/>
      <c r="M115" s="3"/>
      <c r="N115" s="6"/>
      <c r="O115" s="6"/>
      <c r="P115" s="6"/>
      <c r="Q115" s="6"/>
      <c r="R115" s="6"/>
      <c r="S115" s="6"/>
      <c r="T115" s="6"/>
      <c r="U115" s="6"/>
      <c r="V115" s="7"/>
    </row>
    <row r="116" spans="2:22" ht="81.95" customHeight="1">
      <c r="B116" s="19"/>
      <c r="C116" s="20"/>
      <c r="D116" s="21"/>
      <c r="E116" s="22"/>
      <c r="F116" s="25"/>
      <c r="G116" s="26"/>
      <c r="H116" s="27"/>
      <c r="I116" s="28"/>
      <c r="J116" s="29"/>
      <c r="K116" s="4"/>
      <c r="L116" s="23"/>
      <c r="M116" s="3"/>
      <c r="N116" s="6"/>
      <c r="O116" s="6"/>
      <c r="P116" s="6"/>
      <c r="Q116" s="6"/>
      <c r="R116" s="6"/>
      <c r="S116" s="6"/>
      <c r="T116" s="6"/>
      <c r="U116" s="6"/>
      <c r="V116" s="7"/>
    </row>
    <row r="117" spans="2:22" ht="81.95" customHeight="1">
      <c r="B117" s="19"/>
      <c r="C117" s="20"/>
      <c r="D117" s="21"/>
      <c r="E117" s="22"/>
      <c r="F117" s="25"/>
      <c r="G117" s="26"/>
      <c r="H117" s="27"/>
      <c r="I117" s="28"/>
      <c r="J117" s="29"/>
      <c r="K117" s="4"/>
      <c r="L117" s="23"/>
      <c r="M117" s="3"/>
      <c r="N117" s="6"/>
      <c r="O117" s="6"/>
      <c r="P117" s="6"/>
      <c r="Q117" s="6"/>
      <c r="R117" s="6"/>
      <c r="S117" s="6"/>
      <c r="T117" s="6"/>
      <c r="U117" s="6"/>
      <c r="V117" s="7"/>
    </row>
    <row r="118" spans="2:22" ht="81.95" customHeight="1">
      <c r="B118" s="19"/>
      <c r="C118" s="20"/>
      <c r="D118" s="21"/>
      <c r="E118" s="22"/>
      <c r="F118" s="25"/>
      <c r="G118" s="26"/>
      <c r="H118" s="27"/>
      <c r="I118" s="28"/>
      <c r="J118" s="29"/>
      <c r="K118" s="4"/>
      <c r="L118" s="23"/>
      <c r="M118" s="3"/>
      <c r="N118" s="6"/>
      <c r="O118" s="6"/>
      <c r="P118" s="6"/>
      <c r="Q118" s="6"/>
      <c r="R118" s="6"/>
      <c r="S118" s="6"/>
      <c r="T118" s="6"/>
      <c r="U118" s="6"/>
      <c r="V118" s="7"/>
    </row>
    <row r="119" spans="2:22" ht="81.95" customHeight="1">
      <c r="B119" s="19"/>
      <c r="C119" s="20"/>
      <c r="D119" s="21"/>
      <c r="E119" s="22"/>
      <c r="F119" s="25"/>
      <c r="G119" s="26"/>
      <c r="H119" s="27"/>
      <c r="I119" s="28"/>
      <c r="J119" s="29"/>
      <c r="K119" s="4"/>
      <c r="L119" s="23"/>
      <c r="M119" s="3"/>
      <c r="N119" s="6"/>
      <c r="O119" s="6"/>
      <c r="P119" s="6"/>
      <c r="Q119" s="6"/>
      <c r="R119" s="6"/>
      <c r="S119" s="6"/>
      <c r="T119" s="6"/>
      <c r="U119" s="6"/>
      <c r="V119" s="7"/>
    </row>
    <row r="120" spans="2:22" ht="81.95" customHeight="1">
      <c r="B120" s="19"/>
      <c r="C120" s="20"/>
      <c r="D120" s="21"/>
      <c r="E120" s="22"/>
      <c r="F120" s="25"/>
      <c r="G120" s="26"/>
      <c r="H120" s="27"/>
      <c r="I120" s="28"/>
      <c r="J120" s="29"/>
      <c r="K120" s="4"/>
      <c r="L120" s="23"/>
      <c r="M120" s="3"/>
      <c r="N120" s="6"/>
      <c r="O120" s="6"/>
      <c r="P120" s="6"/>
      <c r="Q120" s="6"/>
      <c r="R120" s="6"/>
      <c r="S120" s="6"/>
      <c r="T120" s="6"/>
      <c r="U120" s="6"/>
      <c r="V120" s="7"/>
    </row>
    <row r="121" spans="2:22" ht="81.95" customHeight="1">
      <c r="B121" s="19"/>
      <c r="C121" s="20"/>
      <c r="D121" s="21"/>
      <c r="E121" s="22"/>
      <c r="F121" s="25"/>
      <c r="G121" s="26"/>
      <c r="H121" s="27"/>
      <c r="I121" s="28"/>
      <c r="J121" s="29"/>
      <c r="K121" s="4"/>
      <c r="L121" s="23"/>
      <c r="M121" s="3"/>
      <c r="N121" s="6"/>
      <c r="O121" s="6"/>
      <c r="P121" s="6"/>
      <c r="Q121" s="6"/>
      <c r="R121" s="6"/>
      <c r="S121" s="6"/>
      <c r="T121" s="6"/>
      <c r="U121" s="6"/>
      <c r="V121" s="7"/>
    </row>
    <row r="122" spans="2:22" ht="81.95" customHeight="1">
      <c r="B122" s="19"/>
      <c r="C122" s="20"/>
      <c r="D122" s="21"/>
      <c r="E122" s="22"/>
      <c r="F122" s="25"/>
      <c r="G122" s="26"/>
      <c r="H122" s="27"/>
      <c r="I122" s="28"/>
      <c r="J122" s="29"/>
      <c r="K122" s="4"/>
      <c r="L122" s="23"/>
      <c r="M122" s="3"/>
      <c r="N122" s="6"/>
      <c r="O122" s="6"/>
      <c r="P122" s="6"/>
      <c r="Q122" s="6"/>
      <c r="R122" s="6"/>
      <c r="S122" s="6"/>
      <c r="T122" s="6"/>
      <c r="U122" s="6"/>
      <c r="V122" s="7"/>
    </row>
    <row r="123" spans="2:22" ht="81.95" customHeight="1">
      <c r="B123" s="19"/>
      <c r="C123" s="20"/>
      <c r="D123" s="21"/>
      <c r="E123" s="22"/>
      <c r="F123" s="25"/>
      <c r="G123" s="26"/>
      <c r="H123" s="27"/>
      <c r="I123" s="28"/>
      <c r="J123" s="29"/>
      <c r="K123" s="4"/>
      <c r="L123" s="23"/>
      <c r="M123" s="3"/>
      <c r="N123" s="6"/>
      <c r="O123" s="6"/>
      <c r="P123" s="6"/>
      <c r="Q123" s="6"/>
      <c r="R123" s="6"/>
      <c r="S123" s="6"/>
      <c r="T123" s="6"/>
      <c r="U123" s="6"/>
      <c r="V123" s="7"/>
    </row>
    <row r="124" spans="2:22" ht="81.95" customHeight="1">
      <c r="B124" s="19"/>
      <c r="C124" s="20"/>
      <c r="D124" s="21"/>
      <c r="E124" s="22"/>
      <c r="F124" s="25"/>
      <c r="G124" s="26"/>
      <c r="H124" s="27"/>
      <c r="I124" s="28"/>
      <c r="J124" s="29"/>
      <c r="K124" s="4"/>
      <c r="L124" s="23"/>
      <c r="M124" s="3"/>
      <c r="N124" s="6"/>
      <c r="O124" s="6"/>
      <c r="P124" s="6"/>
      <c r="Q124" s="6"/>
      <c r="R124" s="6"/>
      <c r="S124" s="6"/>
      <c r="T124" s="6"/>
      <c r="U124" s="6"/>
      <c r="V124" s="7"/>
    </row>
    <row r="125" spans="2:22" ht="81.95" customHeight="1">
      <c r="B125" s="19"/>
      <c r="C125" s="20"/>
      <c r="D125" s="21"/>
      <c r="E125" s="22"/>
      <c r="F125" s="25"/>
      <c r="G125" s="26"/>
      <c r="H125" s="27"/>
      <c r="I125" s="28"/>
      <c r="J125" s="29"/>
      <c r="K125" s="4"/>
      <c r="L125" s="23"/>
      <c r="M125" s="3"/>
      <c r="N125" s="6"/>
      <c r="O125" s="6"/>
      <c r="P125" s="6"/>
      <c r="Q125" s="6"/>
      <c r="R125" s="6"/>
      <c r="S125" s="6"/>
      <c r="T125" s="6"/>
      <c r="U125" s="6"/>
      <c r="V125" s="7"/>
    </row>
    <row r="126" spans="2:22" ht="81.95" customHeight="1">
      <c r="B126" s="19"/>
      <c r="C126" s="20"/>
      <c r="D126" s="21"/>
      <c r="E126" s="22"/>
      <c r="F126" s="25"/>
      <c r="G126" s="26"/>
      <c r="H126" s="27"/>
      <c r="I126" s="28"/>
      <c r="J126" s="29"/>
      <c r="K126" s="4"/>
      <c r="L126" s="23"/>
      <c r="M126" s="3"/>
      <c r="N126" s="6"/>
      <c r="O126" s="6"/>
      <c r="P126" s="6"/>
      <c r="Q126" s="6"/>
      <c r="R126" s="6"/>
      <c r="S126" s="6"/>
      <c r="T126" s="6"/>
      <c r="U126" s="6"/>
      <c r="V126" s="7"/>
    </row>
    <row r="127" spans="2:22" ht="81.95" customHeight="1">
      <c r="B127" s="19"/>
      <c r="C127" s="20"/>
      <c r="D127" s="21"/>
      <c r="E127" s="22"/>
      <c r="F127" s="25"/>
      <c r="G127" s="26"/>
      <c r="H127" s="27"/>
      <c r="I127" s="28"/>
      <c r="J127" s="29"/>
      <c r="K127" s="4"/>
      <c r="L127" s="23"/>
      <c r="M127" s="3"/>
      <c r="N127" s="6"/>
      <c r="O127" s="6"/>
      <c r="P127" s="6"/>
      <c r="Q127" s="6"/>
      <c r="R127" s="6"/>
      <c r="S127" s="6"/>
      <c r="T127" s="6"/>
      <c r="U127" s="6"/>
      <c r="V127" s="7"/>
    </row>
    <row r="128" spans="2:22" ht="81.95" customHeight="1">
      <c r="B128" s="19"/>
      <c r="C128" s="20"/>
      <c r="D128" s="21"/>
      <c r="E128" s="22"/>
      <c r="F128" s="25"/>
      <c r="G128" s="26"/>
      <c r="H128" s="27"/>
      <c r="I128" s="28"/>
      <c r="J128" s="29"/>
      <c r="K128" s="4"/>
      <c r="L128" s="23"/>
      <c r="M128" s="3"/>
      <c r="N128" s="6"/>
      <c r="O128" s="6"/>
      <c r="P128" s="6"/>
      <c r="Q128" s="6"/>
      <c r="R128" s="6"/>
      <c r="S128" s="6"/>
      <c r="T128" s="6"/>
      <c r="U128" s="6"/>
      <c r="V128" s="7"/>
    </row>
    <row r="129" spans="2:22" ht="81.95" customHeight="1">
      <c r="B129" s="19"/>
      <c r="C129" s="20"/>
      <c r="D129" s="21"/>
      <c r="E129" s="22"/>
      <c r="F129" s="25"/>
      <c r="G129" s="26"/>
      <c r="H129" s="27"/>
      <c r="I129" s="28"/>
      <c r="J129" s="29"/>
      <c r="K129" s="4"/>
      <c r="L129" s="23"/>
      <c r="M129" s="3"/>
      <c r="N129" s="6"/>
      <c r="O129" s="6"/>
      <c r="P129" s="6"/>
      <c r="Q129" s="6"/>
      <c r="R129" s="6"/>
      <c r="S129" s="6"/>
      <c r="T129" s="6"/>
      <c r="U129" s="6"/>
      <c r="V129" s="7"/>
    </row>
    <row r="130" spans="2:22" ht="81.95" customHeight="1">
      <c r="B130" s="19"/>
      <c r="C130" s="20"/>
      <c r="D130" s="21"/>
      <c r="E130" s="22"/>
      <c r="F130" s="25"/>
      <c r="G130" s="26"/>
      <c r="H130" s="27"/>
      <c r="I130" s="28"/>
      <c r="J130" s="29"/>
      <c r="K130" s="4"/>
      <c r="L130" s="23"/>
      <c r="M130" s="3"/>
      <c r="N130" s="6"/>
      <c r="O130" s="6"/>
      <c r="P130" s="6"/>
      <c r="Q130" s="6"/>
      <c r="R130" s="6"/>
      <c r="S130" s="6"/>
      <c r="T130" s="6"/>
      <c r="U130" s="6"/>
      <c r="V130" s="7"/>
    </row>
    <row r="131" spans="2:22" ht="81.95" customHeight="1">
      <c r="B131" s="19"/>
      <c r="C131" s="20"/>
      <c r="D131" s="21"/>
      <c r="E131" s="22"/>
      <c r="F131" s="25"/>
      <c r="G131" s="26"/>
      <c r="H131" s="27"/>
      <c r="I131" s="28"/>
      <c r="J131" s="29"/>
      <c r="K131" s="4"/>
      <c r="L131" s="23"/>
      <c r="M131" s="3"/>
      <c r="N131" s="6"/>
      <c r="O131" s="6"/>
      <c r="P131" s="6"/>
      <c r="Q131" s="6"/>
      <c r="R131" s="6"/>
      <c r="S131" s="6"/>
      <c r="T131" s="6"/>
      <c r="U131" s="6"/>
      <c r="V131" s="7"/>
    </row>
    <row r="132" spans="2:22" ht="81.95" customHeight="1">
      <c r="B132" s="19"/>
      <c r="C132" s="20"/>
      <c r="D132" s="21"/>
      <c r="E132" s="22"/>
      <c r="F132" s="25"/>
      <c r="G132" s="26"/>
      <c r="H132" s="27"/>
      <c r="I132" s="28"/>
      <c r="J132" s="29"/>
      <c r="K132" s="4"/>
      <c r="L132" s="23"/>
      <c r="M132" s="3"/>
      <c r="N132" s="6"/>
      <c r="O132" s="6"/>
      <c r="P132" s="6"/>
      <c r="Q132" s="6"/>
      <c r="R132" s="6"/>
      <c r="S132" s="6"/>
      <c r="T132" s="6"/>
      <c r="U132" s="6"/>
      <c r="V132" s="7"/>
    </row>
    <row r="133" spans="2:22" ht="81.95" customHeight="1">
      <c r="B133" s="19"/>
      <c r="C133" s="20"/>
      <c r="D133" s="21"/>
      <c r="E133" s="22"/>
      <c r="F133" s="25"/>
      <c r="G133" s="26"/>
      <c r="H133" s="27"/>
      <c r="I133" s="28"/>
      <c r="J133" s="29"/>
      <c r="K133" s="4"/>
      <c r="L133" s="23"/>
      <c r="M133" s="3"/>
      <c r="N133" s="6"/>
      <c r="O133" s="6"/>
      <c r="P133" s="6"/>
      <c r="Q133" s="6"/>
      <c r="R133" s="6"/>
      <c r="S133" s="6"/>
      <c r="T133" s="6"/>
      <c r="U133" s="6"/>
      <c r="V133" s="7"/>
    </row>
    <row r="134" spans="2:22" ht="81.95" customHeight="1">
      <c r="B134" s="19"/>
      <c r="C134" s="20"/>
      <c r="D134" s="21"/>
      <c r="E134" s="22"/>
      <c r="F134" s="25"/>
      <c r="G134" s="26"/>
      <c r="H134" s="27"/>
      <c r="I134" s="28"/>
      <c r="J134" s="29"/>
      <c r="K134" s="4"/>
      <c r="L134" s="23"/>
      <c r="M134" s="3"/>
      <c r="N134" s="6"/>
      <c r="O134" s="6"/>
      <c r="P134" s="6"/>
      <c r="Q134" s="6"/>
      <c r="R134" s="6"/>
      <c r="S134" s="6"/>
      <c r="T134" s="6"/>
      <c r="U134" s="6"/>
      <c r="V134" s="7"/>
    </row>
    <row r="135" spans="2:22" ht="81.95" customHeight="1">
      <c r="B135" s="19"/>
      <c r="C135" s="20"/>
      <c r="D135" s="21"/>
      <c r="E135" s="22"/>
      <c r="F135" s="25"/>
      <c r="G135" s="26"/>
      <c r="H135" s="27"/>
      <c r="I135" s="28"/>
      <c r="J135" s="29"/>
      <c r="K135" s="4"/>
      <c r="L135" s="23"/>
      <c r="M135" s="3"/>
      <c r="N135" s="6"/>
      <c r="O135" s="6"/>
      <c r="P135" s="6"/>
      <c r="Q135" s="6"/>
      <c r="R135" s="6"/>
      <c r="S135" s="6"/>
      <c r="T135" s="6"/>
      <c r="U135" s="6"/>
      <c r="V135" s="7"/>
    </row>
    <row r="136" spans="2:22" ht="81.95" customHeight="1">
      <c r="B136" s="19"/>
      <c r="C136" s="20"/>
      <c r="D136" s="21"/>
      <c r="E136" s="22"/>
      <c r="F136" s="25"/>
      <c r="G136" s="26"/>
      <c r="H136" s="27"/>
      <c r="I136" s="28"/>
      <c r="J136" s="29"/>
      <c r="K136" s="4"/>
      <c r="L136" s="23"/>
      <c r="M136" s="3"/>
      <c r="N136" s="6"/>
      <c r="O136" s="6"/>
      <c r="P136" s="6"/>
      <c r="Q136" s="6"/>
      <c r="R136" s="6"/>
      <c r="S136" s="6"/>
      <c r="T136" s="6"/>
      <c r="U136" s="6"/>
      <c r="V136" s="7"/>
    </row>
    <row r="137" spans="2:22" ht="81.95" customHeight="1">
      <c r="B137" s="19"/>
      <c r="C137" s="20"/>
      <c r="D137" s="21"/>
      <c r="E137" s="22"/>
      <c r="F137" s="25"/>
      <c r="G137" s="26"/>
      <c r="H137" s="27"/>
      <c r="I137" s="28"/>
      <c r="J137" s="29"/>
      <c r="K137" s="4"/>
      <c r="L137" s="23"/>
      <c r="M137" s="3"/>
      <c r="N137" s="6"/>
      <c r="O137" s="6"/>
      <c r="P137" s="6"/>
      <c r="Q137" s="6"/>
      <c r="R137" s="6"/>
      <c r="S137" s="6"/>
      <c r="T137" s="6"/>
      <c r="U137" s="6"/>
      <c r="V137" s="7"/>
    </row>
    <row r="138" spans="2:22" ht="81.95" customHeight="1">
      <c r="B138" s="19"/>
      <c r="C138" s="20"/>
      <c r="D138" s="21"/>
      <c r="E138" s="22"/>
      <c r="F138" s="25"/>
      <c r="G138" s="26"/>
      <c r="H138" s="27"/>
      <c r="I138" s="28"/>
      <c r="J138" s="29"/>
      <c r="K138" s="4"/>
      <c r="L138" s="23"/>
      <c r="M138" s="3"/>
      <c r="N138" s="6"/>
      <c r="O138" s="6"/>
      <c r="P138" s="6"/>
      <c r="Q138" s="6"/>
      <c r="R138" s="6"/>
      <c r="S138" s="6"/>
      <c r="T138" s="6"/>
      <c r="U138" s="6"/>
      <c r="V138" s="7"/>
    </row>
    <row r="139" spans="2:22" ht="81.95" customHeight="1">
      <c r="B139" s="19"/>
      <c r="C139" s="20"/>
      <c r="D139" s="21"/>
      <c r="E139" s="22"/>
      <c r="F139" s="25"/>
      <c r="G139" s="26"/>
      <c r="H139" s="27"/>
      <c r="I139" s="28"/>
      <c r="J139" s="29"/>
      <c r="K139" s="4"/>
      <c r="L139" s="23"/>
      <c r="M139" s="3"/>
      <c r="N139" s="6"/>
      <c r="O139" s="6"/>
      <c r="P139" s="6"/>
      <c r="Q139" s="6"/>
      <c r="R139" s="6"/>
      <c r="S139" s="6"/>
      <c r="T139" s="6"/>
      <c r="U139" s="6"/>
      <c r="V139" s="7"/>
    </row>
    <row r="140" spans="2:22" ht="81.95" customHeight="1">
      <c r="B140" s="19"/>
      <c r="C140" s="20"/>
      <c r="D140" s="21"/>
      <c r="E140" s="22"/>
      <c r="F140" s="25"/>
      <c r="G140" s="26"/>
      <c r="H140" s="27"/>
      <c r="I140" s="28"/>
      <c r="J140" s="29"/>
      <c r="K140" s="4"/>
      <c r="L140" s="23"/>
      <c r="M140" s="3"/>
      <c r="N140" s="6"/>
      <c r="O140" s="6"/>
      <c r="P140" s="6"/>
      <c r="Q140" s="6"/>
      <c r="R140" s="6"/>
      <c r="S140" s="6"/>
      <c r="T140" s="6"/>
      <c r="U140" s="6"/>
      <c r="V140" s="7"/>
    </row>
    <row r="141" spans="2:22" ht="81.95" customHeight="1">
      <c r="B141" s="19"/>
      <c r="C141" s="20"/>
      <c r="D141" s="21"/>
      <c r="E141" s="22"/>
      <c r="F141" s="25"/>
      <c r="G141" s="26"/>
      <c r="H141" s="27"/>
      <c r="I141" s="28"/>
      <c r="J141" s="29"/>
      <c r="K141" s="4"/>
      <c r="L141" s="23"/>
      <c r="M141" s="3"/>
      <c r="N141" s="6"/>
      <c r="O141" s="6"/>
      <c r="P141" s="6"/>
      <c r="Q141" s="6"/>
      <c r="R141" s="6"/>
      <c r="S141" s="6"/>
      <c r="T141" s="6"/>
      <c r="U141" s="6"/>
      <c r="V141" s="7"/>
    </row>
    <row r="142" spans="2:22" ht="81.95" customHeight="1">
      <c r="B142" s="19"/>
      <c r="C142" s="20"/>
      <c r="D142" s="21"/>
      <c r="E142" s="22"/>
      <c r="F142" s="25"/>
      <c r="G142" s="26"/>
      <c r="H142" s="27"/>
      <c r="I142" s="28"/>
      <c r="J142" s="29"/>
      <c r="K142" s="4"/>
      <c r="L142" s="23"/>
      <c r="M142" s="3"/>
      <c r="N142" s="6"/>
      <c r="O142" s="6"/>
      <c r="P142" s="6"/>
      <c r="Q142" s="6"/>
      <c r="R142" s="6"/>
      <c r="S142" s="6"/>
      <c r="T142" s="6"/>
      <c r="U142" s="6"/>
      <c r="V142" s="7"/>
    </row>
    <row r="143" spans="2:22" ht="81.95" customHeight="1">
      <c r="B143" s="19"/>
      <c r="C143" s="20"/>
      <c r="D143" s="21"/>
      <c r="E143" s="22"/>
      <c r="F143" s="25"/>
      <c r="G143" s="26"/>
      <c r="H143" s="27"/>
      <c r="I143" s="28"/>
      <c r="J143" s="29"/>
      <c r="K143" s="4"/>
      <c r="L143" s="23"/>
      <c r="M143" s="3"/>
      <c r="N143" s="6"/>
      <c r="O143" s="6"/>
      <c r="P143" s="6"/>
      <c r="Q143" s="6"/>
      <c r="R143" s="6"/>
      <c r="S143" s="6"/>
      <c r="T143" s="6"/>
      <c r="U143" s="6"/>
      <c r="V143" s="7"/>
    </row>
    <row r="144" spans="2:22" ht="81.95" customHeight="1">
      <c r="B144" s="19"/>
      <c r="C144" s="20"/>
      <c r="D144" s="21"/>
      <c r="E144" s="22"/>
      <c r="F144" s="25"/>
      <c r="G144" s="26"/>
      <c r="H144" s="27"/>
      <c r="I144" s="28"/>
      <c r="J144" s="29"/>
      <c r="K144" s="4"/>
      <c r="L144" s="23"/>
      <c r="M144" s="3"/>
      <c r="N144" s="6"/>
      <c r="O144" s="6"/>
      <c r="P144" s="6"/>
      <c r="Q144" s="6"/>
      <c r="R144" s="6"/>
      <c r="S144" s="6"/>
      <c r="T144" s="6"/>
      <c r="U144" s="6"/>
      <c r="V144" s="7"/>
    </row>
    <row r="145" spans="2:22" ht="81.95" customHeight="1">
      <c r="B145" s="19"/>
      <c r="C145" s="20"/>
      <c r="D145" s="21"/>
      <c r="E145" s="22"/>
      <c r="F145" s="25"/>
      <c r="G145" s="26"/>
      <c r="H145" s="27"/>
      <c r="I145" s="28"/>
      <c r="J145" s="29"/>
      <c r="K145" s="4"/>
      <c r="L145" s="23"/>
      <c r="M145" s="3"/>
      <c r="N145" s="6"/>
      <c r="O145" s="6"/>
      <c r="P145" s="6"/>
      <c r="Q145" s="6"/>
      <c r="R145" s="6"/>
      <c r="S145" s="6"/>
      <c r="T145" s="6"/>
      <c r="U145" s="6"/>
      <c r="V145" s="7"/>
    </row>
    <row r="146" spans="2:22" ht="81.95" customHeight="1">
      <c r="B146" s="19"/>
      <c r="C146" s="20"/>
      <c r="D146" s="21"/>
      <c r="E146" s="22"/>
      <c r="F146" s="25"/>
      <c r="G146" s="26"/>
      <c r="H146" s="27"/>
      <c r="I146" s="28"/>
      <c r="J146" s="29"/>
      <c r="K146" s="4"/>
      <c r="L146" s="23"/>
      <c r="M146" s="3"/>
      <c r="N146" s="6"/>
      <c r="O146" s="6"/>
      <c r="P146" s="6"/>
      <c r="Q146" s="6"/>
      <c r="R146" s="6"/>
      <c r="S146" s="6"/>
      <c r="T146" s="6"/>
      <c r="U146" s="6"/>
      <c r="V146" s="7"/>
    </row>
    <row r="147" spans="2:22" ht="81.95" customHeight="1">
      <c r="B147" s="19"/>
      <c r="C147" s="20"/>
      <c r="D147" s="21"/>
      <c r="E147" s="22"/>
      <c r="F147" s="25"/>
      <c r="G147" s="26"/>
      <c r="H147" s="27"/>
      <c r="I147" s="28"/>
      <c r="J147" s="29"/>
      <c r="K147" s="4"/>
      <c r="L147" s="23"/>
      <c r="M147" s="3"/>
      <c r="N147" s="6"/>
      <c r="O147" s="6"/>
      <c r="P147" s="6"/>
      <c r="Q147" s="6"/>
      <c r="R147" s="6"/>
      <c r="S147" s="6"/>
      <c r="T147" s="6"/>
      <c r="U147" s="6"/>
      <c r="V147" s="7"/>
    </row>
    <row r="148" spans="2:22" ht="81.95" customHeight="1">
      <c r="B148" s="19"/>
      <c r="C148" s="20"/>
      <c r="D148" s="21"/>
      <c r="E148" s="22"/>
      <c r="F148" s="25"/>
      <c r="G148" s="26"/>
      <c r="H148" s="27"/>
      <c r="I148" s="28"/>
      <c r="J148" s="29"/>
      <c r="K148" s="4"/>
      <c r="L148" s="23"/>
      <c r="M148" s="3"/>
      <c r="N148" s="6"/>
      <c r="O148" s="6"/>
      <c r="P148" s="6"/>
      <c r="Q148" s="6"/>
      <c r="R148" s="6"/>
      <c r="S148" s="6"/>
      <c r="T148" s="6"/>
      <c r="U148" s="6"/>
      <c r="V148" s="7"/>
    </row>
    <row r="149" spans="2:22" ht="81.95" customHeight="1">
      <c r="B149" s="19"/>
      <c r="C149" s="20"/>
      <c r="D149" s="21"/>
      <c r="E149" s="22"/>
      <c r="F149" s="25"/>
      <c r="G149" s="26"/>
      <c r="H149" s="27"/>
      <c r="I149" s="28"/>
      <c r="J149" s="29"/>
      <c r="K149" s="4"/>
      <c r="L149" s="23"/>
      <c r="M149" s="3"/>
      <c r="N149" s="6"/>
      <c r="O149" s="6"/>
      <c r="P149" s="6"/>
      <c r="Q149" s="6"/>
      <c r="R149" s="6"/>
      <c r="S149" s="6"/>
      <c r="T149" s="6"/>
      <c r="U149" s="6"/>
      <c r="V149" s="7"/>
    </row>
    <row r="150" spans="2:22" ht="81.95" customHeight="1">
      <c r="B150" s="19"/>
      <c r="C150" s="20"/>
      <c r="D150" s="21"/>
      <c r="E150" s="22"/>
      <c r="F150" s="25"/>
      <c r="G150" s="26"/>
      <c r="H150" s="27"/>
      <c r="I150" s="28"/>
      <c r="J150" s="29"/>
      <c r="K150" s="4"/>
      <c r="L150" s="23"/>
      <c r="M150" s="3"/>
      <c r="N150" s="6"/>
      <c r="O150" s="6"/>
      <c r="P150" s="6"/>
      <c r="Q150" s="6"/>
      <c r="R150" s="6"/>
      <c r="S150" s="6"/>
      <c r="T150" s="6"/>
      <c r="U150" s="6"/>
      <c r="V150" s="7"/>
    </row>
    <row r="151" spans="2:22" ht="81.95" customHeight="1">
      <c r="B151" s="19"/>
      <c r="C151" s="20"/>
      <c r="D151" s="21"/>
      <c r="E151" s="22"/>
      <c r="F151" s="25"/>
      <c r="G151" s="26"/>
      <c r="H151" s="27"/>
      <c r="I151" s="28"/>
      <c r="J151" s="29"/>
      <c r="K151" s="4"/>
      <c r="L151" s="23"/>
      <c r="M151" s="3"/>
      <c r="N151" s="6"/>
      <c r="O151" s="6"/>
      <c r="P151" s="6"/>
      <c r="Q151" s="6"/>
      <c r="R151" s="6"/>
      <c r="S151" s="6"/>
      <c r="T151" s="6"/>
      <c r="U151" s="6"/>
      <c r="V151" s="7"/>
    </row>
    <row r="152" spans="2:22" ht="81.95" customHeight="1">
      <c r="B152" s="19"/>
      <c r="C152" s="20"/>
      <c r="D152" s="21"/>
      <c r="E152" s="22"/>
      <c r="F152" s="25"/>
      <c r="G152" s="26"/>
      <c r="H152" s="27"/>
      <c r="I152" s="28"/>
      <c r="J152" s="29"/>
      <c r="K152" s="4"/>
      <c r="L152" s="23"/>
      <c r="M152" s="3"/>
      <c r="N152" s="6"/>
      <c r="O152" s="6"/>
      <c r="P152" s="6"/>
      <c r="Q152" s="6"/>
      <c r="R152" s="6"/>
      <c r="S152" s="6"/>
      <c r="T152" s="6"/>
      <c r="U152" s="6"/>
      <c r="V152" s="7"/>
    </row>
    <row r="153" spans="2:22" ht="81.95" customHeight="1">
      <c r="B153" s="19"/>
      <c r="C153" s="20"/>
      <c r="D153" s="21"/>
      <c r="E153" s="22"/>
      <c r="F153" s="25"/>
      <c r="G153" s="26"/>
      <c r="H153" s="27"/>
      <c r="I153" s="28"/>
      <c r="J153" s="29"/>
      <c r="K153" s="4"/>
      <c r="L153" s="23"/>
      <c r="M153" s="3"/>
      <c r="N153" s="6"/>
      <c r="O153" s="6"/>
      <c r="P153" s="6"/>
      <c r="Q153" s="6"/>
      <c r="R153" s="6"/>
      <c r="S153" s="6"/>
      <c r="T153" s="6"/>
      <c r="U153" s="6"/>
      <c r="V153" s="7"/>
    </row>
    <row r="154" spans="2:22" ht="81.95" customHeight="1">
      <c r="B154" s="19"/>
      <c r="C154" s="20"/>
      <c r="D154" s="21"/>
      <c r="E154" s="22"/>
      <c r="F154" s="25"/>
      <c r="G154" s="26"/>
      <c r="H154" s="27"/>
      <c r="I154" s="28"/>
      <c r="J154" s="29"/>
      <c r="K154" s="4"/>
      <c r="L154" s="23"/>
      <c r="M154" s="3"/>
      <c r="N154" s="6"/>
      <c r="O154" s="6"/>
      <c r="P154" s="6"/>
      <c r="Q154" s="6"/>
      <c r="R154" s="6"/>
      <c r="S154" s="6"/>
      <c r="T154" s="6"/>
      <c r="U154" s="6"/>
      <c r="V154" s="7"/>
    </row>
    <row r="155" spans="2:22" ht="81.95" customHeight="1">
      <c r="B155" s="19"/>
      <c r="C155" s="20"/>
      <c r="D155" s="21"/>
      <c r="E155" s="22"/>
      <c r="F155" s="25"/>
      <c r="G155" s="26"/>
      <c r="H155" s="27"/>
      <c r="I155" s="28"/>
      <c r="J155" s="29"/>
      <c r="K155" s="4"/>
      <c r="L155" s="23"/>
      <c r="M155" s="3"/>
      <c r="N155" s="6"/>
      <c r="O155" s="6"/>
      <c r="P155" s="6"/>
      <c r="Q155" s="6"/>
      <c r="R155" s="6"/>
      <c r="S155" s="6"/>
      <c r="T155" s="6"/>
      <c r="U155" s="6"/>
      <c r="V155" s="7"/>
    </row>
    <row r="156" spans="2:22" ht="81.95" customHeight="1">
      <c r="B156" s="19"/>
      <c r="C156" s="20"/>
      <c r="D156" s="21"/>
      <c r="E156" s="22"/>
      <c r="F156" s="25"/>
      <c r="G156" s="26"/>
      <c r="H156" s="27"/>
      <c r="I156" s="28"/>
      <c r="J156" s="29"/>
      <c r="K156" s="4"/>
      <c r="L156" s="23"/>
      <c r="M156" s="3"/>
      <c r="N156" s="6"/>
      <c r="O156" s="6"/>
      <c r="P156" s="6"/>
      <c r="Q156" s="6"/>
      <c r="R156" s="6"/>
      <c r="S156" s="6"/>
      <c r="T156" s="6"/>
      <c r="U156" s="6"/>
      <c r="V156" s="7"/>
    </row>
    <row r="157" spans="2:22" ht="81.95" customHeight="1">
      <c r="B157" s="19"/>
      <c r="C157" s="20"/>
      <c r="D157" s="21"/>
      <c r="E157" s="22"/>
      <c r="F157" s="25"/>
      <c r="G157" s="26"/>
      <c r="H157" s="27"/>
      <c r="I157" s="28"/>
      <c r="J157" s="29"/>
      <c r="K157" s="4"/>
      <c r="L157" s="23"/>
      <c r="M157" s="3"/>
      <c r="N157" s="6"/>
      <c r="O157" s="6"/>
      <c r="P157" s="6"/>
      <c r="Q157" s="6"/>
      <c r="R157" s="6"/>
      <c r="S157" s="6"/>
      <c r="T157" s="6"/>
      <c r="U157" s="6"/>
      <c r="V157" s="7"/>
    </row>
    <row r="158" spans="2:22" ht="81.95" customHeight="1">
      <c r="B158" s="19"/>
      <c r="C158" s="20"/>
      <c r="D158" s="21"/>
      <c r="E158" s="22"/>
      <c r="F158" s="25"/>
      <c r="G158" s="26"/>
      <c r="H158" s="27"/>
      <c r="I158" s="28"/>
      <c r="J158" s="29"/>
      <c r="K158" s="4"/>
      <c r="L158" s="23"/>
      <c r="M158" s="3"/>
      <c r="N158" s="6"/>
      <c r="O158" s="6"/>
      <c r="P158" s="6"/>
      <c r="Q158" s="6"/>
      <c r="R158" s="6"/>
      <c r="S158" s="6"/>
      <c r="T158" s="6"/>
      <c r="U158" s="6"/>
      <c r="V158" s="7"/>
    </row>
    <row r="159" spans="2:22" ht="81.95" customHeight="1">
      <c r="B159" s="19"/>
      <c r="C159" s="20"/>
      <c r="D159" s="21"/>
      <c r="E159" s="22"/>
      <c r="F159" s="25"/>
      <c r="G159" s="26"/>
      <c r="H159" s="27"/>
      <c r="I159" s="28"/>
      <c r="J159" s="29"/>
      <c r="K159" s="4"/>
      <c r="L159" s="23"/>
      <c r="M159" s="3"/>
      <c r="N159" s="6"/>
      <c r="O159" s="6"/>
      <c r="P159" s="6"/>
      <c r="Q159" s="6"/>
      <c r="R159" s="6"/>
      <c r="S159" s="6"/>
      <c r="T159" s="6"/>
      <c r="U159" s="6"/>
      <c r="V159" s="7"/>
    </row>
    <row r="160" spans="2:22" ht="81.95" customHeight="1">
      <c r="B160" s="19"/>
      <c r="C160" s="20"/>
      <c r="D160" s="21"/>
      <c r="E160" s="22"/>
      <c r="F160" s="25"/>
      <c r="G160" s="26"/>
      <c r="H160" s="27"/>
      <c r="I160" s="28"/>
      <c r="J160" s="29"/>
      <c r="K160" s="4"/>
      <c r="L160" s="23"/>
      <c r="M160" s="3"/>
      <c r="N160" s="6"/>
      <c r="O160" s="6"/>
      <c r="P160" s="6"/>
      <c r="Q160" s="6"/>
      <c r="R160" s="6"/>
      <c r="S160" s="6"/>
      <c r="T160" s="6"/>
      <c r="U160" s="6"/>
      <c r="V160" s="7"/>
    </row>
    <row r="161" spans="2:22" ht="81.95" customHeight="1">
      <c r="B161" s="19"/>
      <c r="C161" s="20"/>
      <c r="D161" s="21"/>
      <c r="E161" s="22"/>
      <c r="F161" s="25"/>
      <c r="G161" s="26"/>
      <c r="H161" s="27"/>
      <c r="I161" s="28"/>
      <c r="J161" s="29"/>
      <c r="K161" s="4"/>
      <c r="L161" s="23"/>
      <c r="M161" s="3"/>
      <c r="N161" s="6"/>
      <c r="O161" s="6"/>
      <c r="P161" s="6"/>
      <c r="Q161" s="6"/>
      <c r="R161" s="6"/>
      <c r="S161" s="6"/>
      <c r="T161" s="6"/>
      <c r="U161" s="6"/>
      <c r="V161" s="7"/>
    </row>
    <row r="162" spans="2:22" ht="81.95" customHeight="1">
      <c r="B162" s="19"/>
      <c r="C162" s="20"/>
      <c r="D162" s="21"/>
      <c r="E162" s="22"/>
      <c r="F162" s="25"/>
      <c r="G162" s="26"/>
      <c r="H162" s="27"/>
      <c r="I162" s="28"/>
      <c r="J162" s="29"/>
      <c r="K162" s="4"/>
      <c r="L162" s="23"/>
      <c r="M162" s="3"/>
      <c r="N162" s="6"/>
      <c r="O162" s="6"/>
      <c r="P162" s="6"/>
      <c r="Q162" s="6"/>
      <c r="R162" s="6"/>
      <c r="S162" s="6"/>
      <c r="T162" s="6"/>
      <c r="U162" s="6"/>
      <c r="V162" s="7"/>
    </row>
    <row r="163" spans="2:22" ht="81.95" customHeight="1">
      <c r="B163" s="19"/>
      <c r="C163" s="20"/>
      <c r="D163" s="21"/>
      <c r="E163" s="22"/>
      <c r="F163" s="25"/>
      <c r="G163" s="26"/>
      <c r="H163" s="27"/>
      <c r="I163" s="28"/>
      <c r="J163" s="29"/>
      <c r="K163" s="4"/>
      <c r="L163" s="23"/>
      <c r="M163" s="3"/>
      <c r="N163" s="6"/>
      <c r="O163" s="6"/>
      <c r="P163" s="6"/>
      <c r="Q163" s="6"/>
      <c r="R163" s="6"/>
      <c r="S163" s="6"/>
      <c r="T163" s="6"/>
      <c r="U163" s="6"/>
      <c r="V163" s="7"/>
    </row>
    <row r="164" spans="2:22" ht="81.95" customHeight="1">
      <c r="B164" s="19"/>
      <c r="C164" s="20"/>
      <c r="D164" s="21"/>
      <c r="E164" s="22"/>
      <c r="F164" s="25"/>
      <c r="G164" s="26"/>
      <c r="H164" s="27"/>
      <c r="I164" s="28"/>
      <c r="J164" s="29"/>
      <c r="K164" s="4"/>
      <c r="L164" s="23"/>
      <c r="M164" s="3"/>
      <c r="N164" s="6"/>
      <c r="O164" s="6"/>
      <c r="P164" s="6"/>
      <c r="Q164" s="6"/>
      <c r="R164" s="6"/>
      <c r="S164" s="6"/>
      <c r="T164" s="6"/>
      <c r="U164" s="6"/>
      <c r="V164" s="7"/>
    </row>
    <row r="165" spans="2:22" ht="81.95" customHeight="1">
      <c r="B165" s="19"/>
      <c r="C165" s="20"/>
      <c r="D165" s="21"/>
      <c r="E165" s="22"/>
      <c r="F165" s="25"/>
      <c r="G165" s="26"/>
      <c r="H165" s="27"/>
      <c r="I165" s="28"/>
      <c r="J165" s="29"/>
      <c r="K165" s="4"/>
      <c r="L165" s="23"/>
      <c r="M165" s="3"/>
      <c r="N165" s="6"/>
      <c r="O165" s="6"/>
      <c r="P165" s="6"/>
      <c r="Q165" s="6"/>
      <c r="R165" s="6"/>
      <c r="S165" s="6"/>
      <c r="T165" s="6"/>
      <c r="U165" s="6"/>
      <c r="V165" s="7"/>
    </row>
    <row r="166" spans="2:22" ht="81.95" customHeight="1">
      <c r="B166" s="19"/>
      <c r="C166" s="20"/>
      <c r="D166" s="21"/>
      <c r="E166" s="22"/>
      <c r="F166" s="25"/>
      <c r="G166" s="26"/>
      <c r="H166" s="27"/>
      <c r="I166" s="28"/>
      <c r="J166" s="29"/>
      <c r="K166" s="4"/>
      <c r="L166" s="23"/>
      <c r="M166" s="3"/>
      <c r="N166" s="6"/>
      <c r="O166" s="6"/>
      <c r="P166" s="6"/>
      <c r="Q166" s="6"/>
      <c r="R166" s="6"/>
      <c r="S166" s="6"/>
      <c r="T166" s="6"/>
      <c r="U166" s="6"/>
      <c r="V166" s="7"/>
    </row>
    <row r="167" spans="2:22" ht="81.95" customHeight="1">
      <c r="B167" s="19"/>
      <c r="C167" s="20"/>
      <c r="D167" s="21"/>
      <c r="E167" s="22"/>
      <c r="F167" s="25"/>
      <c r="G167" s="26"/>
      <c r="H167" s="27"/>
      <c r="I167" s="28"/>
      <c r="J167" s="29"/>
      <c r="K167" s="4"/>
      <c r="L167" s="23"/>
      <c r="M167" s="3"/>
      <c r="N167" s="6"/>
      <c r="O167" s="6"/>
      <c r="P167" s="6"/>
      <c r="Q167" s="6"/>
      <c r="R167" s="6"/>
      <c r="S167" s="6"/>
      <c r="T167" s="6"/>
      <c r="U167" s="6"/>
      <c r="V167" s="7"/>
    </row>
    <row r="168" spans="2:22" ht="81.95" customHeight="1">
      <c r="B168" s="19"/>
      <c r="C168" s="20"/>
      <c r="D168" s="21"/>
      <c r="E168" s="22"/>
      <c r="F168" s="25"/>
      <c r="G168" s="26"/>
      <c r="H168" s="27"/>
      <c r="I168" s="28"/>
      <c r="J168" s="29"/>
      <c r="K168" s="4"/>
      <c r="L168" s="23"/>
      <c r="M168" s="3"/>
      <c r="N168" s="6"/>
      <c r="O168" s="6"/>
      <c r="P168" s="6"/>
      <c r="Q168" s="6"/>
      <c r="R168" s="6"/>
      <c r="S168" s="6"/>
      <c r="T168" s="6"/>
      <c r="U168" s="6"/>
      <c r="V168" s="7"/>
    </row>
    <row r="169" spans="2:22" ht="81.95" customHeight="1">
      <c r="B169" s="19"/>
      <c r="C169" s="20"/>
      <c r="D169" s="21"/>
      <c r="E169" s="22"/>
      <c r="F169" s="25"/>
      <c r="G169" s="26"/>
      <c r="H169" s="27"/>
      <c r="I169" s="28"/>
      <c r="J169" s="29"/>
      <c r="K169" s="4"/>
      <c r="L169" s="23"/>
      <c r="M169" s="3"/>
      <c r="N169" s="6"/>
      <c r="O169" s="6"/>
      <c r="P169" s="6"/>
      <c r="Q169" s="6"/>
      <c r="R169" s="6"/>
      <c r="S169" s="6"/>
      <c r="T169" s="6"/>
      <c r="U169" s="6"/>
      <c r="V169" s="7"/>
    </row>
    <row r="170" spans="2:22" ht="81.95" customHeight="1">
      <c r="B170" s="19"/>
      <c r="C170" s="20"/>
      <c r="D170" s="21"/>
      <c r="E170" s="22"/>
      <c r="F170" s="25"/>
      <c r="G170" s="26"/>
      <c r="H170" s="27"/>
      <c r="I170" s="28"/>
      <c r="J170" s="29"/>
      <c r="K170" s="4"/>
      <c r="L170" s="23"/>
      <c r="M170" s="3"/>
      <c r="N170" s="6"/>
      <c r="O170" s="6"/>
      <c r="P170" s="6"/>
      <c r="Q170" s="6"/>
      <c r="R170" s="6"/>
      <c r="S170" s="6"/>
      <c r="T170" s="6"/>
      <c r="U170" s="6"/>
      <c r="V170" s="7"/>
    </row>
    <row r="171" spans="2:22" ht="81.95" customHeight="1">
      <c r="B171" s="19"/>
      <c r="C171" s="20"/>
      <c r="D171" s="21"/>
      <c r="E171" s="22"/>
      <c r="F171" s="25"/>
      <c r="G171" s="26"/>
      <c r="H171" s="27"/>
      <c r="I171" s="28"/>
      <c r="J171" s="29"/>
      <c r="K171" s="4"/>
      <c r="L171" s="23"/>
      <c r="M171" s="3"/>
      <c r="N171" s="6"/>
      <c r="O171" s="6"/>
      <c r="P171" s="6"/>
      <c r="Q171" s="6"/>
      <c r="R171" s="6"/>
      <c r="S171" s="6"/>
      <c r="T171" s="6"/>
      <c r="U171" s="6"/>
      <c r="V171" s="7"/>
    </row>
    <row r="172" spans="2:22" ht="81.95" customHeight="1">
      <c r="B172" s="19"/>
      <c r="C172" s="20"/>
      <c r="D172" s="21"/>
      <c r="E172" s="22"/>
      <c r="F172" s="25"/>
      <c r="G172" s="26"/>
      <c r="H172" s="27"/>
      <c r="I172" s="28"/>
      <c r="J172" s="29"/>
      <c r="K172" s="4"/>
      <c r="L172" s="23"/>
      <c r="M172" s="3"/>
      <c r="N172" s="6"/>
      <c r="O172" s="6"/>
      <c r="P172" s="6"/>
      <c r="Q172" s="6"/>
      <c r="R172" s="6"/>
      <c r="S172" s="6"/>
      <c r="T172" s="6"/>
      <c r="U172" s="6"/>
      <c r="V172" s="7"/>
    </row>
    <row r="173" spans="2:22" ht="81.95" customHeight="1">
      <c r="B173" s="19"/>
      <c r="C173" s="20"/>
      <c r="D173" s="21"/>
      <c r="E173" s="22"/>
      <c r="F173" s="25"/>
      <c r="G173" s="26"/>
      <c r="H173" s="27"/>
      <c r="I173" s="28"/>
      <c r="J173" s="29"/>
      <c r="K173" s="4"/>
      <c r="L173" s="23"/>
      <c r="M173" s="3"/>
      <c r="N173" s="6"/>
      <c r="O173" s="6"/>
      <c r="P173" s="6"/>
      <c r="Q173" s="6"/>
      <c r="R173" s="6"/>
      <c r="S173" s="6"/>
      <c r="T173" s="6"/>
      <c r="U173" s="6"/>
      <c r="V173" s="7"/>
    </row>
    <row r="174" spans="2:22" ht="81.95" customHeight="1">
      <c r="B174" s="19"/>
      <c r="C174" s="20"/>
      <c r="D174" s="21"/>
      <c r="E174" s="22"/>
      <c r="F174" s="25"/>
      <c r="G174" s="26"/>
      <c r="H174" s="27"/>
      <c r="I174" s="28"/>
      <c r="J174" s="29"/>
      <c r="K174" s="4"/>
      <c r="L174" s="23"/>
      <c r="M174" s="3"/>
      <c r="N174" s="6"/>
      <c r="O174" s="6"/>
      <c r="P174" s="6"/>
      <c r="Q174" s="6"/>
      <c r="R174" s="6"/>
      <c r="S174" s="6"/>
      <c r="T174" s="6"/>
      <c r="U174" s="6"/>
      <c r="V174" s="7"/>
    </row>
    <row r="175" spans="2:22" ht="81.95" customHeight="1">
      <c r="B175" s="19"/>
      <c r="C175" s="20"/>
      <c r="D175" s="21"/>
      <c r="E175" s="22"/>
      <c r="F175" s="25"/>
      <c r="G175" s="26"/>
      <c r="H175" s="27"/>
      <c r="I175" s="28"/>
      <c r="J175" s="29"/>
      <c r="K175" s="4"/>
      <c r="L175" s="23"/>
      <c r="M175" s="3"/>
      <c r="N175" s="6"/>
      <c r="O175" s="6"/>
      <c r="P175" s="6"/>
      <c r="Q175" s="6"/>
      <c r="R175" s="6"/>
      <c r="S175" s="6"/>
      <c r="T175" s="6"/>
      <c r="U175" s="6"/>
      <c r="V175" s="7"/>
    </row>
    <row r="176" spans="2:22" ht="81.95" customHeight="1">
      <c r="B176" s="19"/>
      <c r="C176" s="20"/>
      <c r="D176" s="21"/>
      <c r="E176" s="22"/>
      <c r="F176" s="25"/>
      <c r="G176" s="26"/>
      <c r="H176" s="27"/>
      <c r="I176" s="28"/>
      <c r="J176" s="29"/>
      <c r="K176" s="4"/>
      <c r="L176" s="23"/>
      <c r="M176" s="3"/>
      <c r="N176" s="6"/>
      <c r="O176" s="6"/>
      <c r="P176" s="6"/>
      <c r="Q176" s="6"/>
      <c r="R176" s="6"/>
      <c r="S176" s="6"/>
      <c r="T176" s="6"/>
      <c r="U176" s="6"/>
      <c r="V176" s="7"/>
    </row>
    <row r="177" spans="2:22" ht="81.95" customHeight="1">
      <c r="B177" s="19"/>
      <c r="C177" s="20"/>
      <c r="D177" s="21"/>
      <c r="E177" s="22"/>
      <c r="F177" s="25"/>
      <c r="G177" s="26"/>
      <c r="H177" s="27"/>
      <c r="I177" s="28"/>
      <c r="J177" s="29"/>
      <c r="K177" s="4"/>
      <c r="L177" s="23"/>
      <c r="M177" s="3"/>
      <c r="N177" s="6"/>
      <c r="O177" s="6"/>
      <c r="P177" s="6"/>
      <c r="Q177" s="6"/>
      <c r="R177" s="6"/>
      <c r="S177" s="6"/>
      <c r="T177" s="6"/>
      <c r="U177" s="6"/>
      <c r="V177" s="7"/>
    </row>
    <row r="178" spans="2:22" ht="81.95" customHeight="1">
      <c r="B178" s="19"/>
      <c r="C178" s="20"/>
      <c r="D178" s="21"/>
      <c r="E178" s="22"/>
      <c r="F178" s="25"/>
      <c r="G178" s="26"/>
      <c r="H178" s="27"/>
      <c r="I178" s="28"/>
      <c r="J178" s="29"/>
      <c r="K178" s="4"/>
      <c r="L178" s="23"/>
      <c r="M178" s="3"/>
      <c r="N178" s="6"/>
      <c r="O178" s="6"/>
      <c r="P178" s="6"/>
      <c r="Q178" s="6"/>
      <c r="R178" s="6"/>
      <c r="S178" s="6"/>
      <c r="T178" s="6"/>
      <c r="U178" s="6"/>
      <c r="V178" s="7"/>
    </row>
    <row r="179" spans="2:22" ht="81.95" customHeight="1">
      <c r="B179" s="19"/>
      <c r="C179" s="20"/>
      <c r="D179" s="21"/>
      <c r="E179" s="22"/>
      <c r="F179" s="25"/>
      <c r="G179" s="26"/>
      <c r="H179" s="27"/>
      <c r="I179" s="28"/>
      <c r="J179" s="29"/>
      <c r="K179" s="4"/>
      <c r="L179" s="23"/>
      <c r="M179" s="3"/>
      <c r="N179" s="6"/>
      <c r="O179" s="6"/>
      <c r="P179" s="6"/>
      <c r="Q179" s="6"/>
      <c r="R179" s="6"/>
      <c r="S179" s="6"/>
      <c r="T179" s="6"/>
      <c r="U179" s="6"/>
      <c r="V179" s="7"/>
    </row>
    <row r="180" spans="2:22" ht="81.95" customHeight="1">
      <c r="B180" s="19"/>
      <c r="C180" s="20"/>
      <c r="D180" s="21"/>
      <c r="E180" s="22"/>
      <c r="F180" s="25"/>
      <c r="G180" s="26"/>
      <c r="H180" s="27"/>
      <c r="I180" s="28"/>
      <c r="J180" s="29"/>
      <c r="K180" s="4"/>
      <c r="L180" s="23"/>
      <c r="M180" s="3"/>
      <c r="N180" s="6"/>
      <c r="O180" s="6"/>
      <c r="P180" s="6"/>
      <c r="Q180" s="6"/>
      <c r="R180" s="6"/>
      <c r="S180" s="6"/>
      <c r="T180" s="6"/>
      <c r="U180" s="6"/>
      <c r="V180" s="7"/>
    </row>
    <row r="181" spans="2:22" ht="81.95" customHeight="1">
      <c r="B181" s="19"/>
      <c r="C181" s="20"/>
      <c r="D181" s="21"/>
      <c r="E181" s="22"/>
      <c r="F181" s="25"/>
      <c r="G181" s="26"/>
      <c r="H181" s="27"/>
      <c r="I181" s="28"/>
      <c r="J181" s="29"/>
      <c r="K181" s="4"/>
      <c r="L181" s="23"/>
      <c r="M181" s="3"/>
      <c r="N181" s="6"/>
      <c r="O181" s="6"/>
      <c r="P181" s="6"/>
      <c r="Q181" s="6"/>
      <c r="R181" s="6"/>
      <c r="S181" s="6"/>
      <c r="T181" s="6"/>
      <c r="U181" s="6"/>
      <c r="V181" s="7"/>
    </row>
    <row r="182" spans="2:22" ht="81.95" customHeight="1">
      <c r="B182" s="19"/>
      <c r="C182" s="20"/>
      <c r="D182" s="21"/>
      <c r="E182" s="22"/>
      <c r="F182" s="25"/>
      <c r="G182" s="26"/>
      <c r="H182" s="27"/>
      <c r="I182" s="28"/>
      <c r="J182" s="29"/>
      <c r="K182" s="4"/>
      <c r="L182" s="23"/>
      <c r="M182" s="3"/>
      <c r="N182" s="6"/>
      <c r="O182" s="6"/>
      <c r="P182" s="6"/>
      <c r="Q182" s="6"/>
      <c r="R182" s="6"/>
      <c r="S182" s="6"/>
      <c r="T182" s="6"/>
      <c r="U182" s="6"/>
      <c r="V182" s="7"/>
    </row>
    <row r="183" spans="2:22" ht="81.95" customHeight="1">
      <c r="B183" s="19"/>
      <c r="C183" s="20"/>
      <c r="D183" s="21"/>
      <c r="E183" s="22"/>
      <c r="F183" s="25"/>
      <c r="G183" s="26"/>
      <c r="H183" s="27"/>
      <c r="I183" s="28"/>
      <c r="J183" s="29"/>
      <c r="K183" s="4"/>
      <c r="L183" s="23"/>
      <c r="M183" s="3"/>
      <c r="N183" s="6"/>
      <c r="O183" s="6"/>
      <c r="P183" s="6"/>
      <c r="Q183" s="6"/>
      <c r="R183" s="6"/>
      <c r="S183" s="6"/>
      <c r="T183" s="6"/>
      <c r="U183" s="6"/>
      <c r="V183" s="7"/>
    </row>
    <row r="184" spans="2:22" ht="81.95" customHeight="1">
      <c r="B184" s="19"/>
      <c r="C184" s="20"/>
      <c r="D184" s="21"/>
      <c r="E184" s="22"/>
      <c r="F184" s="25"/>
      <c r="G184" s="26"/>
      <c r="H184" s="27"/>
      <c r="I184" s="28"/>
      <c r="J184" s="29"/>
      <c r="K184" s="4"/>
      <c r="L184" s="23"/>
      <c r="M184" s="3"/>
      <c r="N184" s="6"/>
      <c r="O184" s="6"/>
      <c r="P184" s="6"/>
      <c r="Q184" s="6"/>
      <c r="R184" s="6"/>
      <c r="S184" s="6"/>
      <c r="T184" s="6"/>
      <c r="U184" s="6"/>
      <c r="V184" s="7"/>
    </row>
    <row r="185" spans="2:22" ht="81.95" customHeight="1">
      <c r="B185" s="19"/>
      <c r="C185" s="20"/>
      <c r="D185" s="21"/>
      <c r="E185" s="22"/>
      <c r="F185" s="25"/>
      <c r="G185" s="26"/>
      <c r="H185" s="27"/>
      <c r="I185" s="28"/>
      <c r="J185" s="29"/>
      <c r="K185" s="4"/>
      <c r="L185" s="23"/>
      <c r="M185" s="3"/>
      <c r="N185" s="6"/>
      <c r="O185" s="6"/>
      <c r="P185" s="6"/>
      <c r="Q185" s="6"/>
      <c r="R185" s="6"/>
      <c r="S185" s="6"/>
      <c r="T185" s="6"/>
      <c r="U185" s="6"/>
      <c r="V185" s="7"/>
    </row>
    <row r="186" spans="2:22" ht="81.95" customHeight="1">
      <c r="B186" s="19"/>
      <c r="C186" s="20"/>
      <c r="D186" s="21"/>
      <c r="E186" s="22"/>
      <c r="F186" s="25"/>
      <c r="G186" s="26"/>
      <c r="H186" s="27"/>
      <c r="I186" s="28"/>
      <c r="J186" s="29"/>
      <c r="K186" s="4"/>
      <c r="L186" s="23"/>
      <c r="M186" s="3"/>
      <c r="N186" s="6"/>
      <c r="O186" s="6"/>
      <c r="P186" s="6"/>
      <c r="Q186" s="6"/>
      <c r="R186" s="6"/>
      <c r="S186" s="6"/>
      <c r="T186" s="6"/>
      <c r="U186" s="6"/>
      <c r="V186" s="7"/>
    </row>
    <row r="187" spans="2:22" ht="81.95" customHeight="1">
      <c r="B187" s="19"/>
      <c r="C187" s="20"/>
      <c r="D187" s="21"/>
      <c r="E187" s="22"/>
      <c r="F187" s="25"/>
      <c r="G187" s="26"/>
      <c r="H187" s="27"/>
      <c r="I187" s="28"/>
      <c r="J187" s="29"/>
      <c r="K187" s="4"/>
      <c r="L187" s="23"/>
      <c r="M187" s="3"/>
      <c r="N187" s="6"/>
      <c r="O187" s="6"/>
      <c r="P187" s="6"/>
      <c r="Q187" s="6"/>
      <c r="R187" s="6"/>
      <c r="S187" s="6"/>
      <c r="T187" s="6"/>
      <c r="U187" s="6"/>
      <c r="V187" s="7"/>
    </row>
    <row r="188" spans="2:22" ht="81.95" customHeight="1">
      <c r="B188" s="19"/>
      <c r="C188" s="20"/>
      <c r="D188" s="21"/>
      <c r="E188" s="22"/>
      <c r="F188" s="25"/>
      <c r="G188" s="26"/>
      <c r="H188" s="27"/>
      <c r="I188" s="28"/>
      <c r="J188" s="29"/>
      <c r="K188" s="4"/>
      <c r="L188" s="23"/>
      <c r="M188" s="3"/>
      <c r="N188" s="6"/>
      <c r="O188" s="6"/>
      <c r="P188" s="6"/>
      <c r="Q188" s="6"/>
      <c r="R188" s="6"/>
      <c r="S188" s="6"/>
      <c r="T188" s="6"/>
      <c r="U188" s="6"/>
      <c r="V188" s="7"/>
    </row>
    <row r="189" spans="2:22" ht="81.95" customHeight="1">
      <c r="B189" s="19"/>
      <c r="C189" s="20"/>
      <c r="D189" s="21"/>
      <c r="E189" s="22"/>
      <c r="F189" s="25"/>
      <c r="G189" s="26"/>
      <c r="H189" s="27"/>
      <c r="I189" s="28"/>
      <c r="J189" s="29"/>
      <c r="K189" s="4"/>
      <c r="L189" s="23"/>
      <c r="M189" s="3"/>
      <c r="N189" s="6"/>
      <c r="O189" s="6"/>
      <c r="P189" s="6"/>
      <c r="Q189" s="6"/>
      <c r="R189" s="6"/>
      <c r="S189" s="6"/>
      <c r="T189" s="6"/>
      <c r="U189" s="6"/>
      <c r="V189" s="7"/>
    </row>
    <row r="190" spans="2:22" ht="81.95" customHeight="1">
      <c r="B190" s="19"/>
      <c r="C190" s="20"/>
      <c r="D190" s="21"/>
      <c r="E190" s="22"/>
      <c r="F190" s="25"/>
      <c r="G190" s="26"/>
      <c r="H190" s="27"/>
      <c r="I190" s="28"/>
      <c r="J190" s="29"/>
      <c r="K190" s="4"/>
      <c r="L190" s="23"/>
      <c r="M190" s="3"/>
      <c r="N190" s="6"/>
      <c r="O190" s="6"/>
      <c r="P190" s="6"/>
      <c r="Q190" s="6"/>
      <c r="R190" s="6"/>
      <c r="S190" s="6"/>
      <c r="T190" s="6"/>
      <c r="U190" s="6"/>
      <c r="V190" s="7"/>
    </row>
    <row r="191" spans="2:22" ht="81.95" customHeight="1">
      <c r="B191" s="19"/>
      <c r="C191" s="20"/>
      <c r="D191" s="21"/>
      <c r="E191" s="22"/>
      <c r="F191" s="25"/>
      <c r="G191" s="26"/>
      <c r="H191" s="27"/>
      <c r="I191" s="28"/>
      <c r="J191" s="29"/>
      <c r="K191" s="4"/>
      <c r="L191" s="23"/>
      <c r="M191" s="3"/>
      <c r="N191" s="6"/>
      <c r="O191" s="6"/>
      <c r="P191" s="6"/>
      <c r="Q191" s="6"/>
      <c r="R191" s="6"/>
      <c r="S191" s="6"/>
      <c r="T191" s="6"/>
      <c r="U191" s="6"/>
      <c r="V191" s="7"/>
    </row>
    <row r="192" spans="2:22" ht="81.95" customHeight="1">
      <c r="B192" s="19"/>
      <c r="C192" s="20"/>
      <c r="D192" s="21"/>
      <c r="E192" s="22"/>
      <c r="F192" s="25"/>
      <c r="G192" s="26"/>
      <c r="H192" s="27"/>
      <c r="I192" s="28"/>
      <c r="J192" s="29"/>
      <c r="K192" s="4"/>
      <c r="L192" s="23"/>
      <c r="M192" s="3"/>
      <c r="N192" s="6"/>
      <c r="O192" s="6"/>
      <c r="P192" s="6"/>
      <c r="Q192" s="6"/>
      <c r="R192" s="6"/>
      <c r="S192" s="6"/>
      <c r="T192" s="6"/>
      <c r="U192" s="6"/>
      <c r="V192" s="7"/>
    </row>
    <row r="193" spans="2:22" ht="81.95" customHeight="1">
      <c r="B193" s="19"/>
      <c r="C193" s="20"/>
      <c r="D193" s="21"/>
      <c r="E193" s="22"/>
      <c r="F193" s="25"/>
      <c r="G193" s="26"/>
      <c r="H193" s="27"/>
      <c r="I193" s="28"/>
      <c r="J193" s="29"/>
      <c r="K193" s="4"/>
      <c r="L193" s="23"/>
      <c r="M193" s="3"/>
      <c r="N193" s="6"/>
      <c r="O193" s="6"/>
      <c r="P193" s="6"/>
      <c r="Q193" s="6"/>
      <c r="R193" s="6"/>
      <c r="S193" s="6"/>
      <c r="T193" s="6"/>
      <c r="U193" s="6"/>
      <c r="V193" s="7"/>
    </row>
    <row r="194" spans="2:22" ht="81.95" customHeight="1">
      <c r="B194" s="19"/>
      <c r="C194" s="20"/>
      <c r="D194" s="21"/>
      <c r="E194" s="22"/>
      <c r="F194" s="25"/>
      <c r="G194" s="26"/>
      <c r="H194" s="27"/>
      <c r="I194" s="28"/>
      <c r="J194" s="29"/>
      <c r="K194" s="4"/>
      <c r="L194" s="23"/>
      <c r="M194" s="3"/>
      <c r="N194" s="6"/>
      <c r="O194" s="6"/>
      <c r="P194" s="6"/>
      <c r="Q194" s="6"/>
      <c r="R194" s="6"/>
      <c r="S194" s="6"/>
      <c r="T194" s="6"/>
      <c r="U194" s="6"/>
      <c r="V194" s="7"/>
    </row>
    <row r="195" spans="2:22" ht="81.95" customHeight="1">
      <c r="B195" s="19"/>
      <c r="C195" s="20"/>
      <c r="D195" s="21"/>
      <c r="E195" s="22"/>
      <c r="F195" s="25"/>
      <c r="G195" s="26"/>
      <c r="H195" s="27"/>
      <c r="I195" s="28"/>
      <c r="J195" s="29"/>
      <c r="K195" s="4"/>
      <c r="L195" s="23"/>
      <c r="M195" s="3"/>
      <c r="N195" s="6"/>
      <c r="O195" s="6"/>
      <c r="P195" s="6"/>
      <c r="Q195" s="6"/>
      <c r="R195" s="6"/>
      <c r="S195" s="6"/>
      <c r="T195" s="6"/>
      <c r="U195" s="6"/>
      <c r="V195" s="7"/>
    </row>
    <row r="196" spans="2:22" ht="81.95" customHeight="1">
      <c r="B196" s="19"/>
      <c r="C196" s="20"/>
      <c r="D196" s="21"/>
      <c r="E196" s="22"/>
      <c r="F196" s="25"/>
      <c r="G196" s="26"/>
      <c r="H196" s="27"/>
      <c r="I196" s="28"/>
      <c r="J196" s="29"/>
      <c r="K196" s="4"/>
      <c r="L196" s="23"/>
      <c r="M196" s="3"/>
      <c r="N196" s="6"/>
      <c r="O196" s="6"/>
      <c r="P196" s="6"/>
      <c r="Q196" s="6"/>
      <c r="R196" s="6"/>
      <c r="S196" s="6"/>
      <c r="T196" s="6"/>
      <c r="U196" s="6"/>
      <c r="V196" s="7"/>
    </row>
    <row r="197" spans="2:22" ht="81.95" customHeight="1">
      <c r="B197" s="19"/>
      <c r="C197" s="20"/>
      <c r="D197" s="21"/>
      <c r="E197" s="22"/>
      <c r="F197" s="25"/>
      <c r="G197" s="26"/>
      <c r="H197" s="27"/>
      <c r="I197" s="28"/>
      <c r="J197" s="29"/>
      <c r="K197" s="4"/>
      <c r="L197" s="23"/>
      <c r="M197" s="3"/>
      <c r="N197" s="6"/>
      <c r="O197" s="6"/>
      <c r="P197" s="6"/>
      <c r="Q197" s="6"/>
      <c r="R197" s="6"/>
      <c r="S197" s="6"/>
      <c r="T197" s="6"/>
      <c r="U197" s="6"/>
      <c r="V197" s="7"/>
    </row>
    <row r="198" spans="2:22" ht="81.95" customHeight="1">
      <c r="B198" s="19"/>
      <c r="C198" s="20"/>
      <c r="D198" s="21"/>
      <c r="E198" s="22"/>
      <c r="F198" s="25"/>
      <c r="G198" s="26"/>
      <c r="H198" s="27"/>
      <c r="I198" s="28"/>
      <c r="J198" s="29"/>
      <c r="K198" s="4"/>
      <c r="L198" s="23"/>
      <c r="M198" s="3"/>
      <c r="N198" s="6"/>
      <c r="O198" s="6"/>
      <c r="P198" s="6"/>
      <c r="Q198" s="6"/>
      <c r="R198" s="6"/>
      <c r="S198" s="6"/>
      <c r="T198" s="6"/>
      <c r="U198" s="6"/>
      <c r="V198" s="7"/>
    </row>
    <row r="199" spans="2:22" ht="81.95" customHeight="1">
      <c r="B199" s="19"/>
      <c r="C199" s="20"/>
      <c r="D199" s="21"/>
      <c r="E199" s="22"/>
      <c r="F199" s="25"/>
      <c r="G199" s="26"/>
      <c r="H199" s="27"/>
      <c r="I199" s="28"/>
      <c r="J199" s="29"/>
      <c r="K199" s="4"/>
      <c r="L199" s="23"/>
      <c r="M199" s="3"/>
      <c r="N199" s="6"/>
      <c r="O199" s="6"/>
      <c r="P199" s="6"/>
      <c r="Q199" s="6"/>
      <c r="R199" s="6"/>
      <c r="S199" s="6"/>
      <c r="T199" s="6"/>
      <c r="U199" s="6"/>
      <c r="V199" s="7"/>
    </row>
    <row r="200" spans="2:22" ht="81.95" customHeight="1">
      <c r="B200" s="19"/>
      <c r="C200" s="20"/>
      <c r="D200" s="21"/>
      <c r="E200" s="22"/>
      <c r="F200" s="25"/>
      <c r="G200" s="26"/>
      <c r="H200" s="27"/>
      <c r="I200" s="28"/>
      <c r="J200" s="29"/>
      <c r="K200" s="4"/>
      <c r="L200" s="23"/>
      <c r="M200" s="3"/>
      <c r="N200" s="6"/>
      <c r="O200" s="6"/>
      <c r="P200" s="6"/>
      <c r="Q200" s="6"/>
      <c r="R200" s="6"/>
      <c r="S200" s="6"/>
      <c r="T200" s="6"/>
      <c r="U200" s="6"/>
      <c r="V200" s="7"/>
    </row>
    <row r="201" spans="2:22" ht="81.95" customHeight="1">
      <c r="B201" s="19"/>
      <c r="C201" s="20"/>
      <c r="D201" s="21"/>
      <c r="E201" s="22"/>
      <c r="F201" s="25"/>
      <c r="G201" s="26"/>
      <c r="H201" s="27"/>
      <c r="I201" s="28"/>
      <c r="J201" s="29"/>
      <c r="K201" s="4"/>
      <c r="L201" s="23"/>
      <c r="M201" s="3"/>
      <c r="N201" s="6"/>
      <c r="O201" s="6"/>
      <c r="P201" s="6"/>
      <c r="Q201" s="6"/>
      <c r="R201" s="6"/>
      <c r="S201" s="6"/>
      <c r="T201" s="6"/>
      <c r="U201" s="6"/>
      <c r="V201" s="7"/>
    </row>
    <row r="202" spans="2:22" ht="81.95" customHeight="1">
      <c r="B202" s="19"/>
      <c r="C202" s="20"/>
      <c r="D202" s="21"/>
      <c r="E202" s="22"/>
      <c r="F202" s="25"/>
      <c r="G202" s="26"/>
      <c r="H202" s="27"/>
      <c r="I202" s="28"/>
      <c r="J202" s="29"/>
      <c r="K202" s="4"/>
      <c r="L202" s="23"/>
      <c r="M202" s="3"/>
      <c r="N202" s="6"/>
      <c r="O202" s="6"/>
      <c r="P202" s="6"/>
      <c r="Q202" s="6"/>
      <c r="R202" s="6"/>
      <c r="S202" s="6"/>
      <c r="T202" s="6"/>
      <c r="U202" s="6"/>
      <c r="V202" s="7"/>
    </row>
    <row r="203" spans="2:22" ht="81.95" customHeight="1">
      <c r="B203" s="19"/>
      <c r="C203" s="20"/>
      <c r="D203" s="21"/>
      <c r="E203" s="22"/>
      <c r="F203" s="25"/>
      <c r="G203" s="26"/>
      <c r="H203" s="27"/>
      <c r="I203" s="28"/>
      <c r="J203" s="29"/>
      <c r="K203" s="4"/>
      <c r="L203" s="23"/>
      <c r="M203" s="3"/>
      <c r="N203" s="6"/>
      <c r="O203" s="6"/>
      <c r="P203" s="6"/>
      <c r="Q203" s="6"/>
      <c r="R203" s="6"/>
      <c r="S203" s="6"/>
      <c r="T203" s="6"/>
      <c r="U203" s="6"/>
      <c r="V203" s="7"/>
    </row>
    <row r="204" spans="2:22" ht="81.95" customHeight="1">
      <c r="B204" s="19"/>
      <c r="C204" s="20"/>
      <c r="D204" s="21"/>
      <c r="E204" s="22"/>
      <c r="F204" s="25"/>
      <c r="G204" s="26"/>
      <c r="H204" s="27"/>
      <c r="I204" s="28"/>
      <c r="J204" s="29"/>
      <c r="K204" s="4"/>
      <c r="L204" s="23"/>
      <c r="M204" s="3"/>
      <c r="N204" s="6"/>
      <c r="O204" s="6"/>
      <c r="P204" s="6"/>
      <c r="Q204" s="6"/>
      <c r="R204" s="6"/>
      <c r="S204" s="6"/>
      <c r="T204" s="6"/>
      <c r="U204" s="6"/>
      <c r="V204" s="7"/>
    </row>
    <row r="205" spans="2:22" ht="81.95" customHeight="1">
      <c r="B205" s="19"/>
      <c r="C205" s="20"/>
      <c r="D205" s="21"/>
      <c r="E205" s="22"/>
      <c r="F205" s="25"/>
      <c r="G205" s="26"/>
      <c r="H205" s="27"/>
      <c r="I205" s="28"/>
      <c r="J205" s="29"/>
      <c r="K205" s="4"/>
      <c r="L205" s="23"/>
      <c r="M205" s="3"/>
      <c r="N205" s="6"/>
      <c r="O205" s="6"/>
      <c r="P205" s="6"/>
      <c r="Q205" s="6"/>
      <c r="R205" s="6"/>
      <c r="S205" s="6"/>
      <c r="T205" s="6"/>
      <c r="U205" s="6"/>
      <c r="V205" s="7"/>
    </row>
    <row r="206" spans="2:22" ht="81.95" customHeight="1">
      <c r="B206" s="19"/>
      <c r="C206" s="20"/>
      <c r="D206" s="21"/>
      <c r="E206" s="22"/>
      <c r="F206" s="25"/>
      <c r="G206" s="26"/>
      <c r="H206" s="27"/>
      <c r="I206" s="28"/>
      <c r="J206" s="29"/>
      <c r="K206" s="4"/>
      <c r="L206" s="23"/>
      <c r="M206" s="3"/>
      <c r="N206" s="6"/>
      <c r="O206" s="6"/>
      <c r="P206" s="6"/>
      <c r="Q206" s="6"/>
      <c r="R206" s="6"/>
      <c r="S206" s="6"/>
      <c r="T206" s="6"/>
      <c r="U206" s="6"/>
      <c r="V206" s="7"/>
    </row>
    <row r="207" spans="2:22" ht="81.95" customHeight="1">
      <c r="B207" s="19"/>
      <c r="C207" s="20"/>
      <c r="D207" s="21"/>
      <c r="E207" s="22"/>
      <c r="F207" s="25"/>
      <c r="G207" s="26"/>
      <c r="H207" s="27"/>
      <c r="I207" s="28"/>
      <c r="J207" s="29"/>
      <c r="K207" s="4"/>
      <c r="L207" s="23"/>
      <c r="M207" s="3"/>
      <c r="N207" s="6"/>
      <c r="O207" s="6"/>
      <c r="P207" s="6"/>
      <c r="Q207" s="6"/>
      <c r="R207" s="6"/>
      <c r="S207" s="6"/>
      <c r="T207" s="6"/>
      <c r="U207" s="6"/>
      <c r="V207" s="7"/>
    </row>
    <row r="208" spans="2:22" ht="81.95" customHeight="1">
      <c r="B208" s="19"/>
      <c r="C208" s="20"/>
      <c r="D208" s="21"/>
      <c r="E208" s="22"/>
      <c r="F208" s="25"/>
      <c r="G208" s="26"/>
      <c r="H208" s="27"/>
      <c r="I208" s="28"/>
      <c r="J208" s="29"/>
      <c r="K208" s="4"/>
      <c r="L208" s="23"/>
      <c r="M208" s="3"/>
      <c r="N208" s="6"/>
      <c r="O208" s="6"/>
      <c r="P208" s="6"/>
      <c r="Q208" s="6"/>
      <c r="R208" s="6"/>
      <c r="S208" s="6"/>
      <c r="T208" s="6"/>
      <c r="U208" s="6"/>
      <c r="V208" s="7"/>
    </row>
    <row r="209" spans="2:22" ht="81.95" customHeight="1">
      <c r="B209" s="19"/>
      <c r="C209" s="20"/>
      <c r="D209" s="21"/>
      <c r="E209" s="22"/>
      <c r="F209" s="25"/>
      <c r="G209" s="26"/>
      <c r="H209" s="27"/>
      <c r="I209" s="28"/>
      <c r="J209" s="29"/>
      <c r="K209" s="4"/>
      <c r="L209" s="23"/>
      <c r="M209" s="3"/>
      <c r="N209" s="6"/>
      <c r="O209" s="6"/>
      <c r="P209" s="6"/>
      <c r="Q209" s="6"/>
      <c r="R209" s="6"/>
      <c r="S209" s="6"/>
      <c r="T209" s="6"/>
      <c r="U209" s="6"/>
      <c r="V209" s="7"/>
    </row>
    <row r="210" spans="2:22" ht="81.95" customHeight="1">
      <c r="B210" s="19"/>
      <c r="C210" s="20"/>
      <c r="D210" s="21"/>
      <c r="E210" s="22"/>
      <c r="F210" s="25"/>
      <c r="G210" s="26"/>
      <c r="H210" s="27"/>
      <c r="I210" s="28"/>
      <c r="J210" s="29"/>
      <c r="K210" s="4"/>
      <c r="L210" s="23"/>
      <c r="M210" s="3"/>
      <c r="N210" s="6"/>
      <c r="O210" s="6"/>
      <c r="P210" s="6"/>
      <c r="Q210" s="6"/>
      <c r="R210" s="6"/>
      <c r="S210" s="6"/>
      <c r="T210" s="6"/>
      <c r="U210" s="6"/>
      <c r="V210" s="7"/>
    </row>
    <row r="211" spans="2:22" ht="81.95" customHeight="1">
      <c r="B211" s="19"/>
      <c r="C211" s="20"/>
      <c r="D211" s="21"/>
      <c r="E211" s="22"/>
      <c r="F211" s="25"/>
      <c r="G211" s="26"/>
      <c r="H211" s="27"/>
      <c r="I211" s="28"/>
      <c r="J211" s="29"/>
      <c r="K211" s="4"/>
      <c r="L211" s="23"/>
      <c r="M211" s="3"/>
      <c r="N211" s="6"/>
      <c r="O211" s="6"/>
      <c r="P211" s="6"/>
      <c r="Q211" s="6"/>
      <c r="R211" s="6"/>
      <c r="S211" s="6"/>
      <c r="T211" s="6"/>
      <c r="U211" s="6"/>
      <c r="V211" s="7"/>
    </row>
    <row r="212" spans="2:22" ht="81.95" customHeight="1">
      <c r="B212" s="19"/>
      <c r="C212" s="20"/>
      <c r="D212" s="21"/>
      <c r="E212" s="22"/>
      <c r="F212" s="25"/>
      <c r="G212" s="26"/>
      <c r="H212" s="27"/>
      <c r="I212" s="28"/>
      <c r="J212" s="29"/>
      <c r="K212" s="4"/>
      <c r="L212" s="23"/>
      <c r="M212" s="3"/>
      <c r="N212" s="6"/>
      <c r="O212" s="6"/>
      <c r="P212" s="6"/>
      <c r="Q212" s="6"/>
      <c r="R212" s="6"/>
      <c r="S212" s="6"/>
      <c r="T212" s="6"/>
      <c r="U212" s="6"/>
      <c r="V212" s="7"/>
    </row>
    <row r="213" spans="2:22" ht="81.95" customHeight="1">
      <c r="B213" s="19"/>
      <c r="C213" s="20"/>
      <c r="D213" s="21"/>
      <c r="E213" s="22"/>
      <c r="F213" s="25"/>
      <c r="G213" s="26"/>
      <c r="H213" s="27"/>
      <c r="I213" s="28"/>
      <c r="J213" s="29"/>
      <c r="K213" s="4"/>
      <c r="L213" s="23"/>
      <c r="M213" s="3"/>
      <c r="N213" s="6"/>
      <c r="O213" s="6"/>
      <c r="P213" s="6"/>
      <c r="Q213" s="6"/>
      <c r="R213" s="6"/>
      <c r="S213" s="6"/>
      <c r="T213" s="6"/>
      <c r="U213" s="6"/>
      <c r="V213" s="7"/>
    </row>
    <row r="214" spans="2:22" ht="81.95" customHeight="1">
      <c r="B214" s="19"/>
      <c r="C214" s="20"/>
      <c r="D214" s="21"/>
      <c r="E214" s="22"/>
      <c r="F214" s="25"/>
      <c r="G214" s="26"/>
      <c r="H214" s="27"/>
      <c r="I214" s="28"/>
      <c r="J214" s="29"/>
      <c r="K214" s="4"/>
      <c r="L214" s="23"/>
      <c r="M214" s="3"/>
      <c r="N214" s="6"/>
      <c r="O214" s="6"/>
      <c r="P214" s="6"/>
      <c r="Q214" s="6"/>
      <c r="R214" s="6"/>
      <c r="S214" s="6"/>
      <c r="T214" s="6"/>
      <c r="U214" s="6"/>
      <c r="V214" s="7"/>
    </row>
    <row r="215" spans="2:22" ht="81.95" customHeight="1">
      <c r="B215" s="19"/>
      <c r="C215" s="20"/>
      <c r="D215" s="21"/>
      <c r="E215" s="22"/>
      <c r="F215" s="25"/>
      <c r="G215" s="26"/>
      <c r="H215" s="27"/>
      <c r="I215" s="28"/>
      <c r="J215" s="29"/>
      <c r="K215" s="4"/>
      <c r="L215" s="23"/>
      <c r="M215" s="3"/>
      <c r="N215" s="6"/>
      <c r="O215" s="6"/>
      <c r="P215" s="6"/>
      <c r="Q215" s="6"/>
      <c r="R215" s="6"/>
      <c r="S215" s="6"/>
      <c r="T215" s="6"/>
      <c r="U215" s="6"/>
      <c r="V215" s="7"/>
    </row>
    <row r="216" spans="2:22" ht="81.95" customHeight="1">
      <c r="B216" s="19"/>
      <c r="C216" s="20"/>
      <c r="D216" s="21"/>
      <c r="E216" s="22"/>
      <c r="F216" s="25"/>
      <c r="G216" s="26"/>
      <c r="H216" s="27"/>
      <c r="I216" s="28"/>
      <c r="J216" s="29"/>
      <c r="K216" s="4"/>
      <c r="L216" s="23"/>
      <c r="M216" s="3"/>
      <c r="N216" s="6"/>
      <c r="O216" s="6"/>
      <c r="P216" s="6"/>
      <c r="Q216" s="6"/>
      <c r="R216" s="6"/>
      <c r="S216" s="6"/>
      <c r="T216" s="6"/>
      <c r="U216" s="6"/>
      <c r="V216" s="7"/>
    </row>
    <row r="217" spans="2:22" ht="81.95" customHeight="1">
      <c r="B217" s="19"/>
      <c r="C217" s="20"/>
      <c r="D217" s="21"/>
      <c r="E217" s="22"/>
      <c r="F217" s="25"/>
      <c r="G217" s="26"/>
      <c r="H217" s="27"/>
      <c r="I217" s="28"/>
      <c r="J217" s="29"/>
      <c r="K217" s="4"/>
      <c r="L217" s="23"/>
      <c r="M217" s="3"/>
      <c r="N217" s="6"/>
      <c r="O217" s="6"/>
      <c r="P217" s="6"/>
      <c r="Q217" s="6"/>
      <c r="R217" s="6"/>
      <c r="S217" s="6"/>
      <c r="T217" s="6"/>
      <c r="U217" s="6"/>
      <c r="V217" s="7"/>
    </row>
    <row r="218" spans="2:22" ht="81.95" customHeight="1">
      <c r="B218" s="19"/>
      <c r="C218" s="20"/>
      <c r="D218" s="21"/>
      <c r="E218" s="22"/>
      <c r="F218" s="25"/>
      <c r="G218" s="26"/>
      <c r="H218" s="27"/>
      <c r="I218" s="28"/>
      <c r="J218" s="29"/>
      <c r="K218" s="4"/>
      <c r="L218" s="23"/>
      <c r="M218" s="3"/>
      <c r="N218" s="6"/>
      <c r="O218" s="6"/>
      <c r="P218" s="6"/>
      <c r="Q218" s="6"/>
      <c r="R218" s="6"/>
      <c r="S218" s="6"/>
      <c r="T218" s="6"/>
      <c r="U218" s="6"/>
      <c r="V218" s="7"/>
    </row>
    <row r="219" spans="2:22" ht="81.95" customHeight="1">
      <c r="B219" s="19"/>
      <c r="C219" s="20"/>
      <c r="D219" s="21"/>
      <c r="E219" s="22"/>
      <c r="F219" s="25"/>
      <c r="G219" s="26"/>
      <c r="H219" s="27"/>
      <c r="I219" s="28"/>
      <c r="J219" s="29"/>
      <c r="K219" s="4"/>
      <c r="L219" s="23"/>
      <c r="M219" s="3"/>
      <c r="N219" s="6"/>
      <c r="O219" s="6"/>
      <c r="P219" s="6"/>
      <c r="Q219" s="6"/>
      <c r="R219" s="6"/>
      <c r="S219" s="6"/>
      <c r="T219" s="6"/>
      <c r="U219" s="6"/>
      <c r="V219" s="7"/>
    </row>
    <row r="220" spans="2:22" ht="81.95" customHeight="1">
      <c r="B220" s="19"/>
      <c r="C220" s="20"/>
      <c r="D220" s="21"/>
      <c r="E220" s="22"/>
      <c r="F220" s="25"/>
      <c r="G220" s="26"/>
      <c r="H220" s="27"/>
      <c r="I220" s="28"/>
      <c r="J220" s="29"/>
      <c r="K220" s="4"/>
      <c r="L220" s="23"/>
      <c r="M220" s="3"/>
      <c r="N220" s="6"/>
      <c r="O220" s="6"/>
      <c r="P220" s="6"/>
      <c r="Q220" s="6"/>
      <c r="R220" s="6"/>
      <c r="S220" s="6"/>
      <c r="T220" s="6"/>
      <c r="U220" s="6"/>
      <c r="V220" s="7"/>
    </row>
    <row r="221" spans="2:22" ht="81.95" customHeight="1">
      <c r="B221" s="19"/>
      <c r="C221" s="20"/>
      <c r="D221" s="21"/>
      <c r="E221" s="22"/>
      <c r="F221" s="25"/>
      <c r="G221" s="26"/>
      <c r="H221" s="27"/>
      <c r="I221" s="28"/>
      <c r="J221" s="29"/>
      <c r="K221" s="4"/>
      <c r="L221" s="23"/>
      <c r="M221" s="3"/>
      <c r="N221" s="6"/>
      <c r="O221" s="6"/>
      <c r="P221" s="6"/>
      <c r="Q221" s="6"/>
      <c r="R221" s="6"/>
      <c r="S221" s="6"/>
      <c r="T221" s="6"/>
      <c r="U221" s="6"/>
      <c r="V221" s="7"/>
    </row>
    <row r="222" spans="2:22" ht="81.95" customHeight="1">
      <c r="B222" s="19"/>
      <c r="C222" s="20"/>
      <c r="D222" s="21"/>
      <c r="E222" s="22"/>
      <c r="F222" s="25"/>
      <c r="G222" s="26"/>
      <c r="H222" s="27"/>
      <c r="I222" s="28"/>
      <c r="J222" s="29"/>
      <c r="K222" s="4"/>
      <c r="L222" s="23"/>
      <c r="M222" s="3"/>
      <c r="N222" s="6"/>
      <c r="O222" s="6"/>
      <c r="P222" s="6"/>
      <c r="Q222" s="6"/>
      <c r="R222" s="6"/>
      <c r="S222" s="6"/>
      <c r="T222" s="6"/>
      <c r="U222" s="6"/>
      <c r="V222" s="7"/>
    </row>
    <row r="223" spans="2:22" ht="81.95" customHeight="1">
      <c r="B223" s="19"/>
      <c r="C223" s="20"/>
      <c r="D223" s="21"/>
      <c r="E223" s="22"/>
      <c r="F223" s="25"/>
      <c r="G223" s="26"/>
      <c r="H223" s="27"/>
      <c r="I223" s="28"/>
      <c r="J223" s="29"/>
      <c r="K223" s="4"/>
      <c r="L223" s="23"/>
      <c r="M223" s="3"/>
      <c r="N223" s="6"/>
      <c r="O223" s="6"/>
      <c r="P223" s="6"/>
      <c r="Q223" s="6"/>
      <c r="R223" s="6"/>
      <c r="S223" s="6"/>
      <c r="T223" s="6"/>
      <c r="U223" s="6"/>
      <c r="V223" s="7"/>
    </row>
    <row r="224" spans="2:22" ht="81.95" customHeight="1">
      <c r="B224" s="19"/>
      <c r="C224" s="20"/>
      <c r="D224" s="21"/>
      <c r="E224" s="22"/>
      <c r="F224" s="25"/>
      <c r="G224" s="26"/>
      <c r="H224" s="27"/>
      <c r="I224" s="28"/>
      <c r="J224" s="29"/>
      <c r="K224" s="4"/>
      <c r="L224" s="23"/>
      <c r="M224" s="3"/>
      <c r="N224" s="6"/>
      <c r="O224" s="6"/>
      <c r="P224" s="6"/>
      <c r="Q224" s="6"/>
      <c r="R224" s="6"/>
      <c r="S224" s="6"/>
      <c r="T224" s="6"/>
      <c r="U224" s="6"/>
      <c r="V224" s="7"/>
    </row>
    <row r="225" spans="2:22" ht="81.95" customHeight="1">
      <c r="B225" s="19"/>
      <c r="C225" s="20"/>
      <c r="D225" s="21"/>
      <c r="E225" s="22"/>
      <c r="F225" s="25"/>
      <c r="G225" s="26"/>
      <c r="H225" s="27"/>
      <c r="I225" s="28"/>
      <c r="J225" s="29"/>
      <c r="K225" s="4"/>
      <c r="L225" s="23"/>
      <c r="M225" s="3"/>
      <c r="N225" s="6"/>
      <c r="O225" s="6"/>
      <c r="P225" s="6"/>
      <c r="Q225" s="6"/>
      <c r="R225" s="6"/>
      <c r="S225" s="6"/>
      <c r="T225" s="6"/>
      <c r="U225" s="6"/>
      <c r="V225" s="7"/>
    </row>
    <row r="226" spans="2:22" ht="81.95" customHeight="1">
      <c r="B226" s="19"/>
      <c r="C226" s="20"/>
      <c r="D226" s="21"/>
      <c r="E226" s="22"/>
      <c r="F226" s="25"/>
      <c r="G226" s="26"/>
      <c r="H226" s="27"/>
      <c r="I226" s="28"/>
      <c r="J226" s="29"/>
      <c r="K226" s="4"/>
      <c r="L226" s="23"/>
      <c r="M226" s="3"/>
      <c r="N226" s="6"/>
      <c r="O226" s="6"/>
      <c r="P226" s="6"/>
      <c r="Q226" s="6"/>
      <c r="R226" s="6"/>
      <c r="S226" s="6"/>
      <c r="T226" s="6"/>
      <c r="U226" s="6"/>
      <c r="V226" s="7"/>
    </row>
    <row r="227" spans="2:22" ht="81.95" customHeight="1">
      <c r="B227" s="19"/>
      <c r="C227" s="20"/>
      <c r="D227" s="21"/>
      <c r="E227" s="22"/>
      <c r="F227" s="25"/>
      <c r="G227" s="26"/>
      <c r="H227" s="27"/>
      <c r="I227" s="28"/>
      <c r="J227" s="29"/>
      <c r="K227" s="4"/>
      <c r="L227" s="23"/>
      <c r="M227" s="3"/>
      <c r="N227" s="6"/>
      <c r="O227" s="6"/>
      <c r="P227" s="6"/>
      <c r="Q227" s="6"/>
      <c r="R227" s="6"/>
      <c r="S227" s="6"/>
      <c r="T227" s="6"/>
      <c r="U227" s="6"/>
      <c r="V227" s="7"/>
    </row>
    <row r="228" spans="2:22" ht="81.95" customHeight="1">
      <c r="B228" s="19"/>
      <c r="C228" s="20"/>
      <c r="D228" s="21"/>
      <c r="E228" s="22"/>
      <c r="F228" s="25"/>
      <c r="G228" s="26"/>
      <c r="H228" s="27"/>
      <c r="I228" s="28"/>
      <c r="J228" s="29"/>
      <c r="K228" s="4"/>
      <c r="L228" s="23"/>
      <c r="M228" s="3"/>
      <c r="N228" s="6"/>
      <c r="O228" s="6"/>
      <c r="P228" s="6"/>
      <c r="Q228" s="6"/>
      <c r="R228" s="6"/>
      <c r="S228" s="6"/>
      <c r="T228" s="6"/>
      <c r="U228" s="6"/>
      <c r="V228" s="7"/>
    </row>
    <row r="229" spans="2:22" ht="81.95" customHeight="1">
      <c r="B229" s="19"/>
      <c r="C229" s="20"/>
      <c r="D229" s="21"/>
      <c r="E229" s="22"/>
      <c r="F229" s="25"/>
      <c r="G229" s="26"/>
      <c r="H229" s="27"/>
      <c r="I229" s="28"/>
      <c r="J229" s="29"/>
      <c r="K229" s="4"/>
      <c r="L229" s="23"/>
      <c r="M229" s="3"/>
      <c r="N229" s="6"/>
      <c r="O229" s="6"/>
      <c r="P229" s="6"/>
      <c r="Q229" s="6"/>
      <c r="R229" s="6"/>
      <c r="S229" s="6"/>
      <c r="T229" s="6"/>
      <c r="U229" s="6"/>
      <c r="V229" s="7"/>
    </row>
    <row r="230" spans="2:22" ht="81.95" customHeight="1">
      <c r="B230" s="19"/>
      <c r="C230" s="20"/>
      <c r="D230" s="21"/>
      <c r="E230" s="22"/>
      <c r="F230" s="25"/>
      <c r="G230" s="26"/>
      <c r="H230" s="27"/>
      <c r="I230" s="28"/>
      <c r="J230" s="29"/>
      <c r="K230" s="4"/>
      <c r="L230" s="23"/>
      <c r="M230" s="3"/>
      <c r="N230" s="6"/>
      <c r="O230" s="6"/>
      <c r="P230" s="6"/>
      <c r="Q230" s="6"/>
      <c r="R230" s="6"/>
      <c r="S230" s="6"/>
      <c r="T230" s="6"/>
      <c r="U230" s="6"/>
      <c r="V230" s="7"/>
    </row>
    <row r="231" spans="2:22" ht="81.95" customHeight="1">
      <c r="B231" s="19"/>
      <c r="C231" s="20"/>
      <c r="D231" s="21"/>
      <c r="E231" s="22"/>
      <c r="F231" s="25"/>
      <c r="G231" s="26"/>
      <c r="H231" s="27"/>
      <c r="I231" s="28"/>
      <c r="J231" s="29"/>
      <c r="K231" s="4"/>
      <c r="L231" s="23"/>
      <c r="M231" s="3"/>
      <c r="N231" s="6"/>
      <c r="O231" s="6"/>
      <c r="P231" s="6"/>
      <c r="Q231" s="6"/>
      <c r="R231" s="6"/>
      <c r="S231" s="6"/>
      <c r="T231" s="6"/>
      <c r="U231" s="6"/>
      <c r="V231" s="7"/>
    </row>
    <row r="232" spans="2:22" ht="81.95" customHeight="1">
      <c r="B232" s="19"/>
      <c r="C232" s="20"/>
      <c r="D232" s="21"/>
      <c r="E232" s="22"/>
      <c r="F232" s="25"/>
      <c r="G232" s="26"/>
      <c r="H232" s="27"/>
      <c r="I232" s="28"/>
      <c r="J232" s="29"/>
      <c r="K232" s="4"/>
      <c r="L232" s="23"/>
      <c r="M232" s="3"/>
      <c r="N232" s="6"/>
      <c r="O232" s="6"/>
      <c r="P232" s="6"/>
      <c r="Q232" s="6"/>
      <c r="R232" s="6"/>
      <c r="S232" s="6"/>
      <c r="T232" s="6"/>
      <c r="U232" s="6"/>
      <c r="V232" s="7"/>
    </row>
    <row r="233" spans="2:22" ht="81.95" customHeight="1">
      <c r="B233" s="19"/>
      <c r="C233" s="20"/>
      <c r="D233" s="21"/>
      <c r="E233" s="22"/>
      <c r="F233" s="25"/>
      <c r="G233" s="26"/>
      <c r="H233" s="27"/>
      <c r="I233" s="28"/>
      <c r="J233" s="29"/>
      <c r="K233" s="4"/>
      <c r="L233" s="23"/>
      <c r="M233" s="3"/>
      <c r="N233" s="6"/>
      <c r="O233" s="6"/>
      <c r="P233" s="6"/>
      <c r="Q233" s="6"/>
      <c r="R233" s="6"/>
      <c r="S233" s="6"/>
      <c r="T233" s="6"/>
      <c r="U233" s="6"/>
      <c r="V233" s="7"/>
    </row>
    <row r="234" spans="2:22" ht="15.75">
      <c r="F234" s="25"/>
      <c r="G234" s="26"/>
      <c r="H234" s="27"/>
      <c r="I234" s="28"/>
      <c r="J234" s="29"/>
      <c r="K234" s="24"/>
    </row>
    <row r="235" spans="2:22" ht="15.75">
      <c r="F235" s="25"/>
      <c r="G235" s="26"/>
      <c r="H235" s="27"/>
      <c r="I235" s="28"/>
      <c r="J235" s="29"/>
      <c r="K235" s="24"/>
    </row>
    <row r="236" spans="2:22" ht="15.75">
      <c r="F236" s="25"/>
      <c r="G236" s="26"/>
      <c r="H236" s="27"/>
      <c r="I236" s="28"/>
      <c r="J236" s="29"/>
      <c r="K236" s="24"/>
    </row>
    <row r="237" spans="2:22" ht="15.75">
      <c r="F237" s="25"/>
      <c r="G237" s="26"/>
      <c r="H237" s="27"/>
      <c r="I237" s="28"/>
      <c r="J237" s="29"/>
      <c r="K237" s="24"/>
    </row>
    <row r="238" spans="2:22" ht="15.75">
      <c r="F238" s="25"/>
      <c r="G238" s="26"/>
      <c r="H238" s="27"/>
      <c r="I238" s="28"/>
      <c r="J238" s="29"/>
      <c r="K238" s="24"/>
    </row>
    <row r="239" spans="2:22" ht="15.75">
      <c r="F239" s="25"/>
      <c r="G239" s="26"/>
      <c r="H239" s="27"/>
      <c r="I239" s="28"/>
      <c r="J239" s="29"/>
      <c r="K239" s="24"/>
    </row>
    <row r="240" spans="2:22" ht="15.75">
      <c r="F240" s="25"/>
      <c r="G240" s="26"/>
      <c r="H240" s="27"/>
      <c r="I240" s="28"/>
      <c r="J240" s="29"/>
      <c r="K240" s="24"/>
    </row>
    <row r="241" spans="6:11" ht="15.75">
      <c r="F241" s="25"/>
      <c r="G241" s="26"/>
      <c r="H241" s="27"/>
      <c r="I241" s="28"/>
      <c r="J241" s="29"/>
      <c r="K241" s="24"/>
    </row>
    <row r="242" spans="6:11" ht="15.75">
      <c r="F242" s="25"/>
      <c r="G242" s="26"/>
      <c r="H242" s="27"/>
      <c r="I242" s="28"/>
      <c r="J242" s="29"/>
      <c r="K242" s="24"/>
    </row>
    <row r="243" spans="6:11" ht="15.75">
      <c r="F243" s="25"/>
      <c r="G243" s="26"/>
      <c r="H243" s="27"/>
      <c r="I243" s="28"/>
      <c r="J243" s="29"/>
      <c r="K243" s="24"/>
    </row>
    <row r="244" spans="6:11" ht="15.75">
      <c r="F244" s="25"/>
      <c r="G244" s="26"/>
      <c r="H244" s="27"/>
      <c r="I244" s="28"/>
      <c r="J244" s="29"/>
      <c r="K244" s="24"/>
    </row>
    <row r="245" spans="6:11" ht="15.75">
      <c r="F245" s="25"/>
      <c r="G245" s="26"/>
      <c r="H245" s="27"/>
      <c r="I245" s="28"/>
      <c r="J245" s="29"/>
      <c r="K245" s="24"/>
    </row>
    <row r="246" spans="6:11" ht="15.75">
      <c r="F246" s="25"/>
      <c r="G246" s="26"/>
      <c r="H246" s="27"/>
      <c r="I246" s="28"/>
      <c r="J246" s="29"/>
      <c r="K246" s="24"/>
    </row>
    <row r="247" spans="6:11" ht="15.75">
      <c r="F247" s="25"/>
      <c r="G247" s="26"/>
      <c r="H247" s="27"/>
      <c r="I247" s="28"/>
      <c r="J247" s="29"/>
      <c r="K247" s="24"/>
    </row>
    <row r="248" spans="6:11" ht="15.75">
      <c r="F248" s="25"/>
      <c r="G248" s="26"/>
      <c r="H248" s="27"/>
      <c r="I248" s="28"/>
      <c r="J248" s="29"/>
      <c r="K248" s="24"/>
    </row>
    <row r="249" spans="6:11" ht="15.75">
      <c r="F249" s="25"/>
      <c r="G249" s="26"/>
      <c r="H249" s="27"/>
      <c r="I249" s="28"/>
      <c r="J249" s="29"/>
      <c r="K249" s="24"/>
    </row>
    <row r="250" spans="6:11" ht="15.75">
      <c r="F250" s="25"/>
      <c r="G250" s="26"/>
      <c r="H250" s="27"/>
      <c r="I250" s="28"/>
      <c r="J250" s="29"/>
      <c r="K250" s="24"/>
    </row>
    <row r="251" spans="6:11" ht="15.75">
      <c r="F251" s="25"/>
      <c r="G251" s="26"/>
      <c r="H251" s="27"/>
      <c r="I251" s="28"/>
      <c r="J251" s="29"/>
      <c r="K251" s="24"/>
    </row>
    <row r="252" spans="6:11" ht="15.75">
      <c r="F252" s="25"/>
      <c r="G252" s="26"/>
      <c r="H252" s="27"/>
      <c r="I252" s="28"/>
      <c r="J252" s="29"/>
      <c r="K252" s="24"/>
    </row>
    <row r="253" spans="6:11" ht="15.75">
      <c r="F253" s="25"/>
      <c r="G253" s="26"/>
      <c r="H253" s="27"/>
      <c r="I253" s="28"/>
      <c r="J253" s="29"/>
      <c r="K253" s="24"/>
    </row>
    <row r="254" spans="6:11" ht="15.75">
      <c r="F254" s="25"/>
      <c r="G254" s="26"/>
      <c r="H254" s="27"/>
      <c r="I254" s="28"/>
      <c r="J254" s="29"/>
      <c r="K254" s="24"/>
    </row>
    <row r="255" spans="6:11" ht="15.75">
      <c r="F255" s="25"/>
      <c r="G255" s="26"/>
      <c r="H255" s="27"/>
      <c r="I255" s="28"/>
      <c r="J255" s="29"/>
      <c r="K255" s="24"/>
    </row>
    <row r="256" spans="6:11" ht="15.75">
      <c r="F256" s="25"/>
      <c r="G256" s="26"/>
      <c r="H256" s="27"/>
      <c r="I256" s="28"/>
      <c r="J256" s="29"/>
      <c r="K256" s="24"/>
    </row>
    <row r="257" spans="6:11" ht="15.75">
      <c r="F257" s="25"/>
      <c r="G257" s="26"/>
      <c r="H257" s="27"/>
      <c r="I257" s="28"/>
      <c r="J257" s="29"/>
      <c r="K257" s="24"/>
    </row>
    <row r="258" spans="6:11" ht="15.75">
      <c r="F258" s="25"/>
      <c r="G258" s="26"/>
      <c r="H258" s="27"/>
      <c r="I258" s="28"/>
      <c r="J258" s="29"/>
      <c r="K258" s="24"/>
    </row>
    <row r="259" spans="6:11" ht="15.75">
      <c r="F259" s="25"/>
      <c r="G259" s="26"/>
      <c r="H259" s="27"/>
      <c r="I259" s="28"/>
      <c r="J259" s="29"/>
      <c r="K259" s="24"/>
    </row>
    <row r="260" spans="6:11" ht="15.75">
      <c r="F260" s="25"/>
      <c r="G260" s="26"/>
      <c r="H260" s="27"/>
      <c r="I260" s="28"/>
      <c r="J260" s="29"/>
      <c r="K260" s="24"/>
    </row>
    <row r="261" spans="6:11" ht="15.75">
      <c r="F261" s="25"/>
      <c r="G261" s="26"/>
      <c r="H261" s="27"/>
      <c r="I261" s="28"/>
      <c r="J261" s="29"/>
      <c r="K261" s="24"/>
    </row>
    <row r="262" spans="6:11" ht="15.75">
      <c r="F262" s="25"/>
      <c r="G262" s="26"/>
      <c r="H262" s="27"/>
      <c r="I262" s="28"/>
      <c r="J262" s="29"/>
      <c r="K262" s="24"/>
    </row>
    <row r="263" spans="6:11" ht="15.75">
      <c r="F263" s="25"/>
      <c r="G263" s="26"/>
      <c r="H263" s="27"/>
      <c r="I263" s="28"/>
      <c r="J263" s="29"/>
      <c r="K263" s="24"/>
    </row>
    <row r="264" spans="6:11" ht="15.75">
      <c r="F264" s="25"/>
      <c r="G264" s="26"/>
      <c r="H264" s="27"/>
      <c r="I264" s="28"/>
      <c r="J264" s="29"/>
      <c r="K264" s="24"/>
    </row>
    <row r="265" spans="6:11" ht="15.75">
      <c r="F265" s="25"/>
      <c r="G265" s="26"/>
      <c r="H265" s="27"/>
      <c r="I265" s="28"/>
      <c r="J265" s="29"/>
      <c r="K265" s="24"/>
    </row>
    <row r="266" spans="6:11" ht="15.75">
      <c r="F266" s="25"/>
      <c r="G266" s="26"/>
      <c r="H266" s="27"/>
      <c r="I266" s="28"/>
      <c r="J266" s="29"/>
      <c r="K266" s="24"/>
    </row>
    <row r="267" spans="6:11" ht="15.75">
      <c r="F267" s="25"/>
      <c r="G267" s="26"/>
      <c r="H267" s="27"/>
      <c r="I267" s="28"/>
      <c r="J267" s="29"/>
      <c r="K267" s="24"/>
    </row>
    <row r="268" spans="6:11" ht="15.75">
      <c r="F268" s="25"/>
      <c r="G268" s="26"/>
      <c r="H268" s="27"/>
      <c r="I268" s="28"/>
      <c r="J268" s="29"/>
      <c r="K268" s="24"/>
    </row>
    <row r="269" spans="6:11" ht="15.75">
      <c r="F269" s="25"/>
      <c r="G269" s="26"/>
      <c r="H269" s="27"/>
      <c r="I269" s="28"/>
      <c r="J269" s="29"/>
      <c r="K269" s="24"/>
    </row>
    <row r="270" spans="6:11" ht="15.75">
      <c r="F270" s="25"/>
      <c r="G270" s="26"/>
      <c r="H270" s="27"/>
      <c r="I270" s="28"/>
      <c r="J270" s="29"/>
      <c r="K270" s="24"/>
    </row>
    <row r="271" spans="6:11" ht="15.75">
      <c r="F271" s="25"/>
      <c r="G271" s="26"/>
      <c r="H271" s="27"/>
      <c r="I271" s="28"/>
      <c r="J271" s="29"/>
      <c r="K271" s="24"/>
    </row>
    <row r="272" spans="6:11" ht="15.75">
      <c r="F272" s="25"/>
      <c r="G272" s="26"/>
      <c r="H272" s="27"/>
      <c r="I272" s="28"/>
      <c r="J272" s="29"/>
      <c r="K272" s="24"/>
    </row>
    <row r="273" spans="6:11" ht="15.75">
      <c r="F273" s="25"/>
      <c r="G273" s="26"/>
      <c r="H273" s="27"/>
      <c r="I273" s="28"/>
      <c r="J273" s="29"/>
      <c r="K273" s="24"/>
    </row>
    <row r="274" spans="6:11" ht="15.75">
      <c r="F274" s="25"/>
      <c r="G274" s="26"/>
      <c r="H274" s="27"/>
      <c r="I274" s="28"/>
      <c r="J274" s="29"/>
      <c r="K274" s="24"/>
    </row>
    <row r="275" spans="6:11" ht="15.75">
      <c r="F275" s="25"/>
      <c r="G275" s="26"/>
      <c r="H275" s="27"/>
      <c r="I275" s="28"/>
      <c r="J275" s="29"/>
      <c r="K275" s="24"/>
    </row>
    <row r="276" spans="6:11" ht="15.75">
      <c r="F276" s="25"/>
      <c r="G276" s="26"/>
      <c r="H276" s="27"/>
      <c r="I276" s="28"/>
      <c r="J276" s="29"/>
      <c r="K276" s="24"/>
    </row>
    <row r="277" spans="6:11" ht="15.75">
      <c r="F277" s="25"/>
      <c r="G277" s="26"/>
      <c r="H277" s="27"/>
      <c r="I277" s="28"/>
      <c r="J277" s="29"/>
      <c r="K277" s="24"/>
    </row>
    <row r="278" spans="6:11" ht="15.75">
      <c r="F278" s="25"/>
      <c r="G278" s="26"/>
      <c r="H278" s="27"/>
      <c r="I278" s="28"/>
      <c r="J278" s="29"/>
      <c r="K278" s="24"/>
    </row>
    <row r="279" spans="6:11" ht="15.75">
      <c r="F279" s="25"/>
      <c r="G279" s="26"/>
      <c r="H279" s="27"/>
      <c r="I279" s="28"/>
      <c r="J279" s="29"/>
      <c r="K279" s="24"/>
    </row>
    <row r="280" spans="6:11" ht="15.75">
      <c r="F280" s="25"/>
      <c r="G280" s="26"/>
      <c r="H280" s="27"/>
      <c r="I280" s="28"/>
      <c r="J280" s="29"/>
      <c r="K280" s="24"/>
    </row>
    <row r="281" spans="6:11" ht="15.75">
      <c r="F281" s="25"/>
      <c r="G281" s="26"/>
      <c r="H281" s="27"/>
      <c r="I281" s="28"/>
      <c r="J281" s="29"/>
      <c r="K281" s="24"/>
    </row>
    <row r="282" spans="6:11" ht="15.75">
      <c r="F282" s="25"/>
      <c r="G282" s="26"/>
      <c r="H282" s="27"/>
      <c r="I282" s="28"/>
      <c r="J282" s="29"/>
      <c r="K282" s="24"/>
    </row>
    <row r="283" spans="6:11" ht="15.75">
      <c r="F283" s="25"/>
      <c r="G283" s="26"/>
      <c r="H283" s="27"/>
      <c r="I283" s="28"/>
      <c r="J283" s="29"/>
      <c r="K283" s="24"/>
    </row>
    <row r="284" spans="6:11" ht="15.75">
      <c r="F284" s="25"/>
      <c r="G284" s="26"/>
      <c r="H284" s="27"/>
      <c r="I284" s="28"/>
      <c r="J284" s="29"/>
      <c r="K284" s="24"/>
    </row>
    <row r="285" spans="6:11" ht="15.75">
      <c r="F285" s="25"/>
      <c r="G285" s="26"/>
      <c r="H285" s="27"/>
      <c r="I285" s="28"/>
      <c r="J285" s="29"/>
      <c r="K285" s="24"/>
    </row>
    <row r="286" spans="6:11" ht="15.75">
      <c r="F286" s="25"/>
      <c r="G286" s="26"/>
      <c r="H286" s="27"/>
      <c r="I286" s="28"/>
      <c r="J286" s="29"/>
      <c r="K286" s="24"/>
    </row>
    <row r="287" spans="6:11" ht="15.75">
      <c r="F287" s="25"/>
      <c r="G287" s="26"/>
      <c r="H287" s="27"/>
      <c r="I287" s="28"/>
      <c r="J287" s="29"/>
      <c r="K287" s="24"/>
    </row>
    <row r="288" spans="6:11" ht="15.75">
      <c r="F288" s="25"/>
      <c r="G288" s="26"/>
      <c r="H288" s="27"/>
      <c r="I288" s="28"/>
      <c r="J288" s="29"/>
      <c r="K288" s="24"/>
    </row>
    <row r="289" spans="6:11" ht="15.75">
      <c r="F289" s="25"/>
      <c r="G289" s="26"/>
      <c r="H289" s="27"/>
      <c r="I289" s="28"/>
      <c r="J289" s="29"/>
      <c r="K289" s="24"/>
    </row>
    <row r="290" spans="6:11" ht="15.75">
      <c r="F290" s="25"/>
      <c r="G290" s="26"/>
      <c r="H290" s="27"/>
      <c r="I290" s="28"/>
      <c r="J290" s="29"/>
      <c r="K290" s="24"/>
    </row>
    <row r="291" spans="6:11" ht="15.75">
      <c r="F291" s="25"/>
      <c r="G291" s="26"/>
      <c r="H291" s="27"/>
      <c r="I291" s="28"/>
      <c r="J291" s="29"/>
      <c r="K291" s="24"/>
    </row>
    <row r="292" spans="6:11" ht="15.75">
      <c r="F292" s="25"/>
      <c r="G292" s="26"/>
      <c r="H292" s="27"/>
      <c r="I292" s="28"/>
      <c r="J292" s="29"/>
      <c r="K292" s="24"/>
    </row>
    <row r="293" spans="6:11" ht="15.75">
      <c r="F293" s="25"/>
      <c r="G293" s="26"/>
      <c r="H293" s="27"/>
      <c r="I293" s="28"/>
      <c r="J293" s="29"/>
      <c r="K293" s="24"/>
    </row>
    <row r="294" spans="6:11" ht="15.75">
      <c r="F294" s="25"/>
      <c r="G294" s="26"/>
      <c r="H294" s="27"/>
      <c r="I294" s="28"/>
      <c r="J294" s="29"/>
      <c r="K294" s="24"/>
    </row>
    <row r="295" spans="6:11" ht="15.75">
      <c r="F295" s="25"/>
      <c r="G295" s="26"/>
      <c r="H295" s="27"/>
      <c r="I295" s="28"/>
      <c r="J295" s="29"/>
      <c r="K295" s="24"/>
    </row>
    <row r="296" spans="6:11" ht="15.75">
      <c r="F296" s="25"/>
      <c r="G296" s="26"/>
      <c r="H296" s="27"/>
      <c r="I296" s="28"/>
      <c r="J296" s="29"/>
      <c r="K296" s="24"/>
    </row>
    <row r="297" spans="6:11" ht="15.75">
      <c r="F297" s="25"/>
      <c r="G297" s="26"/>
      <c r="H297" s="27"/>
      <c r="I297" s="28"/>
      <c r="J297" s="29"/>
      <c r="K297" s="24"/>
    </row>
    <row r="298" spans="6:11" ht="15.75">
      <c r="F298" s="25"/>
      <c r="G298" s="26"/>
      <c r="H298" s="27"/>
      <c r="I298" s="28"/>
      <c r="J298" s="29"/>
      <c r="K298" s="24"/>
    </row>
    <row r="299" spans="6:11" ht="15.75">
      <c r="F299" s="25"/>
      <c r="G299" s="26"/>
      <c r="H299" s="27"/>
      <c r="I299" s="28"/>
      <c r="J299" s="29"/>
      <c r="K299" s="24"/>
    </row>
    <row r="300" spans="6:11" ht="15.75">
      <c r="F300" s="25"/>
      <c r="G300" s="26"/>
      <c r="H300" s="27"/>
      <c r="I300" s="28"/>
      <c r="J300" s="29"/>
      <c r="K300" s="24"/>
    </row>
    <row r="301" spans="6:11" ht="15.75">
      <c r="F301" s="25"/>
      <c r="G301" s="26"/>
      <c r="H301" s="27"/>
      <c r="I301" s="28"/>
      <c r="J301" s="29"/>
      <c r="K301" s="24"/>
    </row>
    <row r="302" spans="6:11" ht="15.75">
      <c r="F302" s="25"/>
      <c r="G302" s="26"/>
      <c r="H302" s="27"/>
      <c r="I302" s="28"/>
      <c r="J302" s="29"/>
      <c r="K302" s="24"/>
    </row>
    <row r="303" spans="6:11" ht="15.75">
      <c r="F303" s="25"/>
      <c r="G303" s="26"/>
      <c r="H303" s="27"/>
      <c r="I303" s="28"/>
      <c r="J303" s="29"/>
      <c r="K303" s="24"/>
    </row>
    <row r="304" spans="6:11" ht="15.75">
      <c r="F304" s="25"/>
      <c r="G304" s="26"/>
      <c r="H304" s="27"/>
      <c r="I304" s="28"/>
      <c r="J304" s="29"/>
      <c r="K304" s="24"/>
    </row>
    <row r="305" spans="6:11" ht="15.75">
      <c r="F305" s="25"/>
      <c r="G305" s="26"/>
      <c r="H305" s="27"/>
      <c r="I305" s="28"/>
      <c r="J305" s="29"/>
      <c r="K305" s="24"/>
    </row>
    <row r="306" spans="6:11" ht="15.75">
      <c r="F306" s="25"/>
      <c r="G306" s="26"/>
      <c r="H306" s="27"/>
      <c r="I306" s="28"/>
      <c r="J306" s="29"/>
      <c r="K306" s="24"/>
    </row>
    <row r="307" spans="6:11" ht="15.75">
      <c r="F307" s="25"/>
      <c r="G307" s="26"/>
      <c r="H307" s="27"/>
      <c r="I307" s="28"/>
      <c r="J307" s="29"/>
      <c r="K307" s="24"/>
    </row>
    <row r="308" spans="6:11" ht="15.75">
      <c r="F308" s="25"/>
      <c r="G308" s="26"/>
      <c r="H308" s="27"/>
      <c r="I308" s="28"/>
      <c r="J308" s="29"/>
      <c r="K308" s="24"/>
    </row>
    <row r="309" spans="6:11" ht="15.75">
      <c r="F309" s="25"/>
      <c r="G309" s="26"/>
      <c r="H309" s="27"/>
      <c r="I309" s="28"/>
      <c r="J309" s="29"/>
      <c r="K309" s="24"/>
    </row>
    <row r="310" spans="6:11" ht="15.75">
      <c r="F310" s="25"/>
      <c r="G310" s="26"/>
      <c r="H310" s="27"/>
      <c r="I310" s="28"/>
      <c r="J310" s="29"/>
      <c r="K310" s="24"/>
    </row>
    <row r="311" spans="6:11" ht="15.75">
      <c r="F311" s="25"/>
      <c r="G311" s="26"/>
      <c r="H311" s="27"/>
      <c r="I311" s="28"/>
      <c r="J311" s="29"/>
      <c r="K311" s="24"/>
    </row>
    <row r="312" spans="6:11" ht="15.75">
      <c r="F312" s="25"/>
      <c r="G312" s="26"/>
      <c r="H312" s="27"/>
      <c r="I312" s="28"/>
      <c r="J312" s="29"/>
      <c r="K312" s="24"/>
    </row>
    <row r="313" spans="6:11" ht="15.75">
      <c r="F313" s="25"/>
      <c r="G313" s="26"/>
      <c r="H313" s="27"/>
      <c r="I313" s="28"/>
      <c r="J313" s="29"/>
      <c r="K313" s="24"/>
    </row>
    <row r="314" spans="6:11" ht="15.75">
      <c r="F314" s="25"/>
      <c r="G314" s="26"/>
      <c r="H314" s="27"/>
      <c r="I314" s="28"/>
      <c r="J314" s="29"/>
      <c r="K314" s="24"/>
    </row>
    <row r="315" spans="6:11" ht="15.75">
      <c r="F315" s="25"/>
      <c r="G315" s="26"/>
      <c r="H315" s="27"/>
      <c r="I315" s="28"/>
      <c r="J315" s="29"/>
      <c r="K315" s="24"/>
    </row>
    <row r="316" spans="6:11" ht="15.75">
      <c r="F316" s="25"/>
      <c r="G316" s="26"/>
      <c r="H316" s="27"/>
      <c r="I316" s="28"/>
      <c r="J316" s="29"/>
      <c r="K316" s="24"/>
    </row>
    <row r="317" spans="6:11" ht="15.75">
      <c r="F317" s="25"/>
      <c r="G317" s="26"/>
      <c r="H317" s="27"/>
      <c r="I317" s="28"/>
      <c r="J317" s="29"/>
      <c r="K317" s="24"/>
    </row>
    <row r="318" spans="6:11" ht="15.75">
      <c r="F318" s="25"/>
      <c r="G318" s="26"/>
      <c r="H318" s="27"/>
      <c r="I318" s="28"/>
      <c r="J318" s="29"/>
      <c r="K318" s="24"/>
    </row>
    <row r="319" spans="6:11" ht="15.75">
      <c r="F319" s="25"/>
      <c r="G319" s="26"/>
      <c r="H319" s="27"/>
      <c r="I319" s="28"/>
      <c r="J319" s="29"/>
      <c r="K319" s="24"/>
    </row>
    <row r="320" spans="6:11" ht="15.75">
      <c r="F320" s="25"/>
      <c r="G320" s="26"/>
      <c r="H320" s="27"/>
      <c r="I320" s="28"/>
      <c r="J320" s="29"/>
      <c r="K320" s="24"/>
    </row>
    <row r="321" spans="6:11" ht="15.75">
      <c r="F321" s="25"/>
      <c r="G321" s="26"/>
      <c r="H321" s="27"/>
      <c r="I321" s="28"/>
      <c r="J321" s="29"/>
      <c r="K321" s="24"/>
    </row>
    <row r="322" spans="6:11" ht="15.75">
      <c r="F322" s="25"/>
      <c r="G322" s="26"/>
      <c r="H322" s="27"/>
      <c r="I322" s="28"/>
      <c r="J322" s="29"/>
      <c r="K322" s="24"/>
    </row>
    <row r="323" spans="6:11" ht="15.75">
      <c r="F323" s="25"/>
      <c r="G323" s="26"/>
      <c r="H323" s="27"/>
      <c r="I323" s="28"/>
      <c r="J323" s="29"/>
      <c r="K323" s="24"/>
    </row>
    <row r="324" spans="6:11" ht="15.75">
      <c r="F324" s="25"/>
      <c r="G324" s="26"/>
      <c r="H324" s="27"/>
      <c r="I324" s="28"/>
      <c r="J324" s="29"/>
      <c r="K324" s="24"/>
    </row>
    <row r="325" spans="6:11" ht="15.75">
      <c r="F325" s="25"/>
      <c r="G325" s="26"/>
      <c r="H325" s="27"/>
      <c r="I325" s="28"/>
      <c r="J325" s="29"/>
      <c r="K325" s="24"/>
    </row>
    <row r="326" spans="6:11" ht="15.75">
      <c r="F326" s="25"/>
      <c r="G326" s="26"/>
      <c r="H326" s="27"/>
      <c r="I326" s="28"/>
      <c r="J326" s="29"/>
      <c r="K326" s="24"/>
    </row>
    <row r="327" spans="6:11" ht="15.75">
      <c r="F327" s="25"/>
      <c r="G327" s="26"/>
      <c r="H327" s="27"/>
      <c r="I327" s="28"/>
      <c r="J327" s="29"/>
      <c r="K327" s="24"/>
    </row>
    <row r="328" spans="6:11" ht="15.75">
      <c r="F328" s="25"/>
      <c r="G328" s="26"/>
      <c r="H328" s="27"/>
      <c r="I328" s="28"/>
      <c r="J328" s="29"/>
      <c r="K328" s="24"/>
    </row>
    <row r="329" spans="6:11" ht="15.75">
      <c r="F329" s="25"/>
      <c r="G329" s="26"/>
      <c r="H329" s="27"/>
      <c r="I329" s="28"/>
      <c r="J329" s="29"/>
      <c r="K329" s="24"/>
    </row>
    <row r="330" spans="6:11" ht="15.75">
      <c r="F330" s="25"/>
      <c r="G330" s="26"/>
      <c r="H330" s="27"/>
      <c r="I330" s="28"/>
      <c r="J330" s="29"/>
      <c r="K330" s="24"/>
    </row>
    <row r="331" spans="6:11" ht="15.75">
      <c r="F331" s="25"/>
      <c r="G331" s="26"/>
      <c r="H331" s="27"/>
      <c r="I331" s="28"/>
      <c r="J331" s="29"/>
      <c r="K331" s="24"/>
    </row>
    <row r="332" spans="6:11" ht="15.75">
      <c r="F332" s="25"/>
      <c r="G332" s="26"/>
      <c r="H332" s="27"/>
      <c r="I332" s="28"/>
      <c r="J332" s="29"/>
      <c r="K332" s="24"/>
    </row>
    <row r="333" spans="6:11" ht="15.75">
      <c r="F333" s="25"/>
      <c r="G333" s="26"/>
      <c r="H333" s="27"/>
      <c r="I333" s="28"/>
      <c r="J333" s="29"/>
      <c r="K333" s="24"/>
    </row>
    <row r="334" spans="6:11" ht="15.75">
      <c r="F334" s="25"/>
      <c r="G334" s="26"/>
      <c r="H334" s="27"/>
      <c r="I334" s="28"/>
      <c r="J334" s="29"/>
      <c r="K334" s="24"/>
    </row>
    <row r="335" spans="6:11" ht="15.75">
      <c r="F335" s="25"/>
      <c r="G335" s="26"/>
      <c r="H335" s="27"/>
      <c r="I335" s="28"/>
      <c r="J335" s="29"/>
      <c r="K335" s="24"/>
    </row>
    <row r="336" spans="6:11" ht="15.75">
      <c r="F336" s="25"/>
      <c r="G336" s="26"/>
      <c r="H336" s="27"/>
      <c r="I336" s="28"/>
      <c r="J336" s="29"/>
      <c r="K336" s="24"/>
    </row>
    <row r="337" spans="6:11" ht="15.75">
      <c r="F337" s="25"/>
      <c r="G337" s="26"/>
      <c r="H337" s="27"/>
      <c r="I337" s="28"/>
      <c r="J337" s="29"/>
      <c r="K337" s="24"/>
    </row>
    <row r="338" spans="6:11" ht="15.75">
      <c r="F338" s="25"/>
      <c r="G338" s="26"/>
      <c r="H338" s="27"/>
      <c r="I338" s="28"/>
      <c r="J338" s="29"/>
      <c r="K338" s="24"/>
    </row>
    <row r="339" spans="6:11" ht="15.75">
      <c r="F339" s="25"/>
      <c r="G339" s="26"/>
      <c r="H339" s="27"/>
      <c r="I339" s="28"/>
      <c r="J339" s="29"/>
      <c r="K339" s="24"/>
    </row>
    <row r="340" spans="6:11" ht="15.75">
      <c r="F340" s="25"/>
      <c r="G340" s="26"/>
      <c r="H340" s="27"/>
      <c r="I340" s="28"/>
      <c r="J340" s="29"/>
      <c r="K340" s="24"/>
    </row>
    <row r="341" spans="6:11" ht="15.75">
      <c r="F341" s="25"/>
      <c r="G341" s="26"/>
      <c r="H341" s="27"/>
      <c r="I341" s="28"/>
      <c r="J341" s="29"/>
      <c r="K341" s="24"/>
    </row>
    <row r="342" spans="6:11" ht="15.75">
      <c r="F342" s="25"/>
      <c r="G342" s="26"/>
      <c r="H342" s="27"/>
      <c r="I342" s="28"/>
      <c r="J342" s="29"/>
      <c r="K342" s="24"/>
    </row>
    <row r="343" spans="6:11" ht="15.75">
      <c r="F343" s="25"/>
      <c r="G343" s="26"/>
      <c r="H343" s="27"/>
      <c r="I343" s="28"/>
      <c r="J343" s="29"/>
      <c r="K343" s="24"/>
    </row>
    <row r="344" spans="6:11" ht="15.75">
      <c r="F344" s="25"/>
      <c r="G344" s="26"/>
      <c r="H344" s="27"/>
      <c r="I344" s="28"/>
      <c r="J344" s="29"/>
      <c r="K344" s="24"/>
    </row>
    <row r="345" spans="6:11" ht="15.75">
      <c r="F345" s="25"/>
      <c r="G345" s="26"/>
      <c r="H345" s="27"/>
      <c r="I345" s="28"/>
      <c r="J345" s="29"/>
      <c r="K345" s="24"/>
    </row>
    <row r="346" spans="6:11" ht="15.75">
      <c r="F346" s="25"/>
      <c r="G346" s="26"/>
      <c r="H346" s="27"/>
      <c r="I346" s="28"/>
      <c r="J346" s="29"/>
      <c r="K346" s="24"/>
    </row>
    <row r="347" spans="6:11" ht="15.75">
      <c r="F347" s="25"/>
      <c r="G347" s="26"/>
      <c r="H347" s="27"/>
      <c r="I347" s="28"/>
      <c r="J347" s="29"/>
      <c r="K347" s="24"/>
    </row>
    <row r="348" spans="6:11" ht="15.75">
      <c r="F348" s="25"/>
      <c r="G348" s="26"/>
      <c r="H348" s="27"/>
      <c r="I348" s="28"/>
      <c r="J348" s="29"/>
      <c r="K348" s="24"/>
    </row>
    <row r="349" spans="6:11" ht="15.75">
      <c r="F349" s="25"/>
      <c r="G349" s="26"/>
      <c r="H349" s="27"/>
      <c r="I349" s="28"/>
      <c r="J349" s="29"/>
      <c r="K349" s="24"/>
    </row>
    <row r="350" spans="6:11" ht="15.75">
      <c r="F350" s="25"/>
      <c r="G350" s="26"/>
      <c r="H350" s="27"/>
      <c r="I350" s="28"/>
      <c r="J350" s="29"/>
      <c r="K350" s="24"/>
    </row>
    <row r="351" spans="6:11" ht="15.75">
      <c r="F351" s="25"/>
      <c r="G351" s="26"/>
      <c r="H351" s="27"/>
      <c r="I351" s="28"/>
      <c r="J351" s="29"/>
      <c r="K351" s="24"/>
    </row>
    <row r="352" spans="6:11" ht="15.75">
      <c r="F352" s="25"/>
      <c r="G352" s="26"/>
      <c r="H352" s="27"/>
      <c r="I352" s="28"/>
      <c r="J352" s="29"/>
      <c r="K352" s="24"/>
    </row>
    <row r="353" spans="6:11" ht="15.75">
      <c r="F353" s="25"/>
      <c r="G353" s="26"/>
      <c r="H353" s="27"/>
      <c r="I353" s="28"/>
      <c r="J353" s="29"/>
      <c r="K353" s="24"/>
    </row>
    <row r="354" spans="6:11" ht="15.75">
      <c r="F354" s="25"/>
      <c r="G354" s="26"/>
      <c r="H354" s="27"/>
      <c r="I354" s="28"/>
      <c r="J354" s="29"/>
      <c r="K354" s="24"/>
    </row>
    <row r="355" spans="6:11" ht="15.75">
      <c r="F355" s="25"/>
      <c r="G355" s="26"/>
      <c r="H355" s="27"/>
      <c r="I355" s="28"/>
      <c r="J355" s="29"/>
      <c r="K355" s="24"/>
    </row>
    <row r="356" spans="6:11" ht="15.75">
      <c r="F356" s="25"/>
      <c r="G356" s="26"/>
      <c r="H356" s="27"/>
      <c r="I356" s="28"/>
      <c r="J356" s="29"/>
      <c r="K356" s="24"/>
    </row>
    <row r="357" spans="6:11" ht="15.75">
      <c r="F357" s="25"/>
      <c r="G357" s="26"/>
      <c r="H357" s="27"/>
      <c r="I357" s="28"/>
      <c r="J357" s="29"/>
      <c r="K357" s="24"/>
    </row>
    <row r="358" spans="6:11" ht="15.75">
      <c r="F358" s="25"/>
      <c r="G358" s="26"/>
      <c r="H358" s="27"/>
      <c r="I358" s="28"/>
      <c r="J358" s="29"/>
      <c r="K358" s="24"/>
    </row>
    <row r="359" spans="6:11" ht="15.75">
      <c r="F359" s="25"/>
      <c r="G359" s="26"/>
      <c r="H359" s="27"/>
      <c r="I359" s="28"/>
      <c r="J359" s="29"/>
      <c r="K359" s="24"/>
    </row>
    <row r="360" spans="6:11" ht="15.75">
      <c r="F360" s="25"/>
      <c r="G360" s="26"/>
      <c r="H360" s="27"/>
      <c r="I360" s="28"/>
      <c r="J360" s="29"/>
      <c r="K360" s="24"/>
    </row>
    <row r="361" spans="6:11" ht="15.75">
      <c r="F361" s="25"/>
      <c r="G361" s="26"/>
      <c r="H361" s="27"/>
      <c r="I361" s="28"/>
      <c r="J361" s="29"/>
      <c r="K361" s="24"/>
    </row>
    <row r="362" spans="6:11" ht="15.75">
      <c r="F362" s="25"/>
      <c r="G362" s="26"/>
      <c r="H362" s="27"/>
      <c r="I362" s="28"/>
      <c r="J362" s="29"/>
      <c r="K362" s="24"/>
    </row>
    <row r="363" spans="6:11" ht="15.75">
      <c r="F363" s="25"/>
      <c r="G363" s="26"/>
      <c r="H363" s="27"/>
      <c r="I363" s="28"/>
      <c r="J363" s="29"/>
      <c r="K363" s="24"/>
    </row>
    <row r="364" spans="6:11" ht="15.75">
      <c r="F364" s="25"/>
      <c r="G364" s="26"/>
      <c r="H364" s="27"/>
      <c r="I364" s="28"/>
      <c r="J364" s="29"/>
      <c r="K364" s="24"/>
    </row>
    <row r="365" spans="6:11" ht="15.75">
      <c r="F365" s="25"/>
      <c r="G365" s="26"/>
      <c r="H365" s="27"/>
      <c r="I365" s="28"/>
      <c r="J365" s="29"/>
      <c r="K365" s="24"/>
    </row>
    <row r="366" spans="6:11" ht="15.75">
      <c r="F366" s="25"/>
      <c r="G366" s="26"/>
      <c r="H366" s="27"/>
      <c r="I366" s="28"/>
      <c r="J366" s="29"/>
      <c r="K366" s="24"/>
    </row>
    <row r="367" spans="6:11" ht="15.75">
      <c r="F367" s="25"/>
      <c r="G367" s="26"/>
      <c r="H367" s="27"/>
      <c r="I367" s="28"/>
      <c r="J367" s="29"/>
      <c r="K367" s="24"/>
    </row>
    <row r="368" spans="6:11" ht="15.75">
      <c r="F368" s="25"/>
      <c r="G368" s="26"/>
      <c r="H368" s="27"/>
      <c r="I368" s="28"/>
      <c r="J368" s="29"/>
      <c r="K368" s="24"/>
    </row>
    <row r="369" spans="6:11" ht="15.75">
      <c r="F369" s="25"/>
      <c r="G369" s="26"/>
      <c r="H369" s="27"/>
      <c r="I369" s="28"/>
      <c r="J369" s="29"/>
      <c r="K369" s="24"/>
    </row>
    <row r="370" spans="6:11" ht="15.75">
      <c r="F370" s="25"/>
      <c r="G370" s="26"/>
      <c r="H370" s="27"/>
      <c r="I370" s="28"/>
      <c r="J370" s="29"/>
      <c r="K370" s="24"/>
    </row>
    <row r="371" spans="6:11" ht="15.75">
      <c r="F371" s="25"/>
      <c r="G371" s="26"/>
      <c r="H371" s="27"/>
      <c r="I371" s="28"/>
      <c r="J371" s="29"/>
      <c r="K371" s="24"/>
    </row>
    <row r="372" spans="6:11" ht="15.75">
      <c r="F372" s="25"/>
      <c r="G372" s="26"/>
      <c r="H372" s="27"/>
      <c r="I372" s="28"/>
      <c r="J372" s="29"/>
      <c r="K372" s="24"/>
    </row>
    <row r="373" spans="6:11" ht="15.75">
      <c r="F373" s="25"/>
      <c r="G373" s="26"/>
      <c r="H373" s="27"/>
      <c r="I373" s="28"/>
      <c r="J373" s="29"/>
      <c r="K373" s="24"/>
    </row>
    <row r="374" spans="6:11" ht="15.75">
      <c r="F374" s="25"/>
      <c r="G374" s="26"/>
      <c r="H374" s="27"/>
      <c r="I374" s="28"/>
      <c r="J374" s="29"/>
      <c r="K374" s="24"/>
    </row>
    <row r="375" spans="6:11" ht="15.75">
      <c r="F375" s="25"/>
      <c r="G375" s="26"/>
      <c r="H375" s="27"/>
      <c r="I375" s="28"/>
      <c r="J375" s="29"/>
      <c r="K375" s="24"/>
    </row>
    <row r="376" spans="6:11" ht="15.75">
      <c r="F376" s="25"/>
      <c r="G376" s="26"/>
      <c r="H376" s="27"/>
      <c r="I376" s="28"/>
      <c r="J376" s="29"/>
      <c r="K376" s="24"/>
    </row>
    <row r="377" spans="6:11" ht="15.75">
      <c r="F377" s="25"/>
      <c r="G377" s="26"/>
      <c r="H377" s="27"/>
      <c r="I377" s="28"/>
      <c r="J377" s="29"/>
      <c r="K377" s="24"/>
    </row>
    <row r="378" spans="6:11" ht="15.75">
      <c r="F378" s="25"/>
      <c r="G378" s="26"/>
      <c r="H378" s="27"/>
      <c r="I378" s="28"/>
      <c r="J378" s="29"/>
      <c r="K378" s="24"/>
    </row>
    <row r="379" spans="6:11" ht="15.75">
      <c r="F379" s="25"/>
      <c r="G379" s="26"/>
      <c r="H379" s="27"/>
      <c r="I379" s="28"/>
      <c r="J379" s="29"/>
      <c r="K379" s="24"/>
    </row>
    <row r="380" spans="6:11" ht="15.75">
      <c r="F380" s="25"/>
      <c r="G380" s="26"/>
      <c r="H380" s="27"/>
      <c r="I380" s="28"/>
      <c r="J380" s="29"/>
      <c r="K380" s="24"/>
    </row>
    <row r="381" spans="6:11" ht="15.75">
      <c r="F381" s="25"/>
      <c r="G381" s="26"/>
      <c r="H381" s="27"/>
      <c r="I381" s="28"/>
      <c r="J381" s="29"/>
      <c r="K381" s="24"/>
    </row>
    <row r="382" spans="6:11" ht="15.75">
      <c r="F382" s="25"/>
      <c r="G382" s="26"/>
      <c r="H382" s="27"/>
      <c r="I382" s="28"/>
      <c r="J382" s="29"/>
      <c r="K382" s="24"/>
    </row>
    <row r="383" spans="6:11" ht="15.75">
      <c r="F383" s="25"/>
      <c r="G383" s="26"/>
      <c r="H383" s="27"/>
      <c r="I383" s="28"/>
      <c r="J383" s="29"/>
      <c r="K383" s="24"/>
    </row>
    <row r="384" spans="6:11" ht="15.75">
      <c r="F384" s="25"/>
      <c r="G384" s="26"/>
      <c r="H384" s="27"/>
      <c r="I384" s="28"/>
      <c r="J384" s="29"/>
      <c r="K384" s="24"/>
    </row>
    <row r="385" spans="6:11" ht="15.75">
      <c r="F385" s="25"/>
      <c r="G385" s="26"/>
      <c r="H385" s="27"/>
      <c r="I385" s="28"/>
      <c r="J385" s="29"/>
      <c r="K385" s="24"/>
    </row>
    <row r="386" spans="6:11" ht="15.75">
      <c r="F386" s="25"/>
      <c r="G386" s="26"/>
      <c r="H386" s="27"/>
      <c r="I386" s="28"/>
      <c r="J386" s="29"/>
      <c r="K386" s="24"/>
    </row>
    <row r="387" spans="6:11" ht="15.75">
      <c r="F387" s="25"/>
      <c r="G387" s="26"/>
      <c r="H387" s="27"/>
      <c r="I387" s="28"/>
      <c r="J387" s="29"/>
      <c r="K387" s="24"/>
    </row>
    <row r="388" spans="6:11" ht="15.75">
      <c r="F388" s="25"/>
      <c r="G388" s="26"/>
      <c r="H388" s="27"/>
      <c r="I388" s="28"/>
      <c r="J388" s="29"/>
      <c r="K388" s="24"/>
    </row>
    <row r="389" spans="6:11" ht="15.75">
      <c r="F389" s="25"/>
      <c r="G389" s="26"/>
      <c r="H389" s="27"/>
      <c r="I389" s="28"/>
      <c r="J389" s="29"/>
      <c r="K389" s="24"/>
    </row>
    <row r="390" spans="6:11" ht="15.75">
      <c r="F390" s="25"/>
      <c r="G390" s="26"/>
      <c r="H390" s="27"/>
      <c r="I390" s="28"/>
      <c r="J390" s="29"/>
      <c r="K390" s="24"/>
    </row>
    <row r="391" spans="6:11" ht="15.75">
      <c r="F391" s="25"/>
      <c r="G391" s="26"/>
      <c r="H391" s="27"/>
      <c r="I391" s="28"/>
      <c r="J391" s="29"/>
      <c r="K391" s="24"/>
    </row>
    <row r="392" spans="6:11" ht="15.75">
      <c r="F392" s="25"/>
      <c r="G392" s="26"/>
      <c r="H392" s="27"/>
      <c r="I392" s="28"/>
      <c r="J392" s="29"/>
      <c r="K392" s="24"/>
    </row>
    <row r="393" spans="6:11" ht="15.75">
      <c r="F393" s="25"/>
      <c r="G393" s="26"/>
      <c r="H393" s="27"/>
      <c r="I393" s="28"/>
      <c r="J393" s="29"/>
      <c r="K393" s="24"/>
    </row>
    <row r="394" spans="6:11" ht="15.75">
      <c r="F394" s="25"/>
      <c r="G394" s="26"/>
      <c r="H394" s="27"/>
      <c r="I394" s="28"/>
      <c r="J394" s="29"/>
      <c r="K394" s="24"/>
    </row>
    <row r="395" spans="6:11" ht="15.75">
      <c r="F395" s="25"/>
      <c r="G395" s="26"/>
      <c r="H395" s="27"/>
      <c r="I395" s="28"/>
      <c r="J395" s="29"/>
      <c r="K395" s="24"/>
    </row>
    <row r="396" spans="6:11" ht="15.75">
      <c r="F396" s="25"/>
      <c r="G396" s="26"/>
      <c r="H396" s="27"/>
      <c r="I396" s="28"/>
      <c r="J396" s="29"/>
      <c r="K396" s="24"/>
    </row>
    <row r="397" spans="6:11" ht="15.75">
      <c r="F397" s="25"/>
      <c r="G397" s="26"/>
      <c r="H397" s="27"/>
      <c r="I397" s="28"/>
      <c r="J397" s="29"/>
      <c r="K397" s="24"/>
    </row>
    <row r="398" spans="6:11" ht="15.75">
      <c r="F398" s="25"/>
      <c r="G398" s="26"/>
      <c r="H398" s="27"/>
      <c r="I398" s="28"/>
      <c r="J398" s="29"/>
      <c r="K398" s="24"/>
    </row>
    <row r="399" spans="6:11" ht="15.75">
      <c r="F399" s="25"/>
      <c r="G399" s="26"/>
      <c r="H399" s="27"/>
      <c r="I399" s="28"/>
      <c r="J399" s="29"/>
      <c r="K399" s="24"/>
    </row>
    <row r="400" spans="6:11" ht="15.75">
      <c r="F400" s="25"/>
      <c r="G400" s="26"/>
      <c r="H400" s="27"/>
      <c r="I400" s="28"/>
      <c r="J400" s="29"/>
      <c r="K400" s="24"/>
    </row>
    <row r="401" spans="6:11" ht="15.75">
      <c r="F401" s="25"/>
      <c r="G401" s="26"/>
      <c r="H401" s="27"/>
      <c r="I401" s="28"/>
      <c r="J401" s="29"/>
      <c r="K401" s="24"/>
    </row>
    <row r="402" spans="6:11" ht="15.75">
      <c r="F402" s="25"/>
      <c r="G402" s="26"/>
      <c r="H402" s="27"/>
      <c r="I402" s="28"/>
      <c r="J402" s="29"/>
      <c r="K402" s="24"/>
    </row>
    <row r="403" spans="6:11" ht="15.75">
      <c r="F403" s="25"/>
      <c r="G403" s="26"/>
      <c r="H403" s="27"/>
      <c r="I403" s="28"/>
      <c r="J403" s="29"/>
      <c r="K403" s="24"/>
    </row>
    <row r="404" spans="6:11" ht="15.75">
      <c r="F404" s="25"/>
      <c r="G404" s="26"/>
      <c r="H404" s="27"/>
      <c r="I404" s="28"/>
      <c r="J404" s="29"/>
      <c r="K404" s="24"/>
    </row>
    <row r="405" spans="6:11" ht="15.75">
      <c r="F405" s="25"/>
      <c r="G405" s="26"/>
      <c r="H405" s="27"/>
      <c r="I405" s="28"/>
      <c r="J405" s="29"/>
      <c r="K405" s="24"/>
    </row>
    <row r="406" spans="6:11" ht="15.75">
      <c r="F406" s="25"/>
      <c r="G406" s="26"/>
      <c r="H406" s="27"/>
      <c r="I406" s="28"/>
      <c r="J406" s="29"/>
      <c r="K406" s="24"/>
    </row>
    <row r="407" spans="6:11" ht="15.75">
      <c r="F407" s="25"/>
      <c r="G407" s="26"/>
      <c r="H407" s="27"/>
      <c r="I407" s="28"/>
      <c r="J407" s="29"/>
      <c r="K407" s="24"/>
    </row>
    <row r="408" spans="6:11" ht="15.75">
      <c r="F408" s="25"/>
      <c r="G408" s="26"/>
      <c r="H408" s="27"/>
      <c r="I408" s="28"/>
      <c r="J408" s="29"/>
      <c r="K408" s="24"/>
    </row>
    <row r="409" spans="6:11" ht="15.75">
      <c r="F409" s="25"/>
      <c r="G409" s="26"/>
      <c r="H409" s="27"/>
      <c r="I409" s="28"/>
      <c r="J409" s="29"/>
      <c r="K409" s="24"/>
    </row>
    <row r="410" spans="6:11" ht="15.75">
      <c r="F410" s="25"/>
      <c r="G410" s="26"/>
      <c r="H410" s="27"/>
      <c r="I410" s="28"/>
      <c r="J410" s="29"/>
      <c r="K410" s="24"/>
    </row>
    <row r="411" spans="6:11" ht="15.75">
      <c r="F411" s="25"/>
      <c r="G411" s="26"/>
      <c r="H411" s="27"/>
      <c r="I411" s="28"/>
      <c r="J411" s="29"/>
      <c r="K411" s="24"/>
    </row>
    <row r="412" spans="6:11" ht="15.75">
      <c r="F412" s="25"/>
      <c r="G412" s="26"/>
      <c r="H412" s="27"/>
      <c r="I412" s="28"/>
      <c r="J412" s="29"/>
      <c r="K412" s="24"/>
    </row>
    <row r="413" spans="6:11" ht="15.75">
      <c r="F413" s="25"/>
      <c r="G413" s="26"/>
      <c r="H413" s="27"/>
      <c r="I413" s="28"/>
      <c r="J413" s="29"/>
      <c r="K413" s="24"/>
    </row>
    <row r="414" spans="6:11" ht="15.75">
      <c r="F414" s="25"/>
      <c r="G414" s="26"/>
      <c r="H414" s="27"/>
      <c r="I414" s="28"/>
      <c r="J414" s="29"/>
      <c r="K414" s="24"/>
    </row>
    <row r="415" spans="6:11" ht="15.75">
      <c r="F415" s="25"/>
      <c r="G415" s="26"/>
      <c r="H415" s="27"/>
      <c r="I415" s="28"/>
      <c r="J415" s="29"/>
      <c r="K415" s="24"/>
    </row>
    <row r="416" spans="6:11" ht="15.75">
      <c r="F416" s="25"/>
      <c r="G416" s="26"/>
      <c r="H416" s="27"/>
      <c r="I416" s="28"/>
      <c r="J416" s="29"/>
      <c r="K416" s="24"/>
    </row>
    <row r="417" spans="6:11" ht="15.75">
      <c r="F417" s="25"/>
      <c r="G417" s="26"/>
      <c r="H417" s="27"/>
      <c r="I417" s="28"/>
      <c r="J417" s="29"/>
      <c r="K417" s="24"/>
    </row>
    <row r="418" spans="6:11" ht="15.75">
      <c r="F418" s="25"/>
      <c r="G418" s="26"/>
      <c r="H418" s="27"/>
      <c r="I418" s="28"/>
      <c r="J418" s="29"/>
      <c r="K418" s="24"/>
    </row>
    <row r="419" spans="6:11" ht="15.75">
      <c r="F419" s="25"/>
      <c r="G419" s="26"/>
      <c r="H419" s="27"/>
      <c r="I419" s="28"/>
      <c r="J419" s="29"/>
      <c r="K419" s="24"/>
    </row>
    <row r="420" spans="6:11" ht="15.75">
      <c r="F420" s="25"/>
      <c r="G420" s="26"/>
      <c r="H420" s="27"/>
      <c r="I420" s="28"/>
      <c r="J420" s="29"/>
      <c r="K420" s="24"/>
    </row>
    <row r="421" spans="6:11" ht="15.75">
      <c r="F421" s="25"/>
      <c r="G421" s="26"/>
      <c r="H421" s="27"/>
      <c r="I421" s="28"/>
      <c r="J421" s="29"/>
      <c r="K421" s="24"/>
    </row>
    <row r="422" spans="6:11" ht="15.75">
      <c r="F422" s="25"/>
      <c r="G422" s="26"/>
      <c r="H422" s="27"/>
      <c r="I422" s="28"/>
      <c r="J422" s="29"/>
      <c r="K422" s="24"/>
    </row>
    <row r="423" spans="6:11" ht="15.75">
      <c r="F423" s="25"/>
      <c r="G423" s="26"/>
      <c r="H423" s="27"/>
      <c r="I423" s="28"/>
      <c r="J423" s="29"/>
      <c r="K423" s="24"/>
    </row>
    <row r="424" spans="6:11" ht="15.75">
      <c r="F424" s="25"/>
      <c r="G424" s="26"/>
      <c r="H424" s="27"/>
      <c r="I424" s="28"/>
      <c r="J424" s="29"/>
      <c r="K424" s="24"/>
    </row>
    <row r="425" spans="6:11" ht="15.75">
      <c r="F425" s="25"/>
      <c r="G425" s="26"/>
      <c r="H425" s="27"/>
      <c r="I425" s="28"/>
      <c r="J425" s="29"/>
      <c r="K425" s="24"/>
    </row>
    <row r="426" spans="6:11" ht="15.75">
      <c r="F426" s="25"/>
      <c r="G426" s="26"/>
      <c r="H426" s="27"/>
      <c r="I426" s="28"/>
      <c r="J426" s="29"/>
      <c r="K426" s="24"/>
    </row>
    <row r="427" spans="6:11" ht="15.75">
      <c r="F427" s="25"/>
      <c r="G427" s="26"/>
      <c r="H427" s="27"/>
      <c r="I427" s="28"/>
      <c r="J427" s="29"/>
      <c r="K427" s="24"/>
    </row>
    <row r="428" spans="6:11" ht="15.75">
      <c r="F428" s="25"/>
      <c r="G428" s="26"/>
      <c r="H428" s="27"/>
      <c r="I428" s="28"/>
      <c r="J428" s="29"/>
      <c r="K428" s="24"/>
    </row>
    <row r="429" spans="6:11" ht="15.75">
      <c r="F429" s="25"/>
      <c r="G429" s="26"/>
      <c r="H429" s="27"/>
      <c r="I429" s="28"/>
      <c r="J429" s="29"/>
      <c r="K429" s="24"/>
    </row>
    <row r="430" spans="6:11" ht="15.75">
      <c r="F430" s="25"/>
      <c r="G430" s="26"/>
      <c r="H430" s="27"/>
      <c r="I430" s="28"/>
      <c r="J430" s="29"/>
      <c r="K430" s="24"/>
    </row>
    <row r="431" spans="6:11" ht="15.75">
      <c r="F431" s="25"/>
      <c r="G431" s="26"/>
      <c r="H431" s="27"/>
      <c r="I431" s="28"/>
      <c r="J431" s="29"/>
      <c r="K431" s="24"/>
    </row>
    <row r="432" spans="6:11" ht="15.75">
      <c r="F432" s="25"/>
      <c r="G432" s="26"/>
      <c r="H432" s="27"/>
      <c r="I432" s="28"/>
      <c r="J432" s="29"/>
      <c r="K432" s="24"/>
    </row>
    <row r="433" spans="6:11" ht="15.75">
      <c r="F433" s="25"/>
      <c r="G433" s="26"/>
      <c r="H433" s="27"/>
      <c r="I433" s="28"/>
      <c r="J433" s="29"/>
      <c r="K433" s="24"/>
    </row>
    <row r="434" spans="6:11" ht="15.75">
      <c r="F434" s="25"/>
      <c r="G434" s="26"/>
      <c r="H434" s="27"/>
      <c r="I434" s="28"/>
      <c r="J434" s="29"/>
      <c r="K434" s="24"/>
    </row>
    <row r="435" spans="6:11" ht="15.75">
      <c r="F435" s="25"/>
      <c r="G435" s="26"/>
      <c r="H435" s="27"/>
      <c r="I435" s="28"/>
      <c r="J435" s="29"/>
      <c r="K435" s="24"/>
    </row>
    <row r="436" spans="6:11" ht="15.75">
      <c r="F436" s="25"/>
      <c r="G436" s="26"/>
      <c r="H436" s="27"/>
      <c r="I436" s="28"/>
      <c r="J436" s="29"/>
      <c r="K436" s="24"/>
    </row>
    <row r="437" spans="6:11" ht="15.75">
      <c r="F437" s="25"/>
      <c r="G437" s="26"/>
      <c r="H437" s="27"/>
      <c r="I437" s="28"/>
      <c r="J437" s="29"/>
      <c r="K437" s="24"/>
    </row>
    <row r="438" spans="6:11" ht="15.75">
      <c r="F438" s="25"/>
      <c r="G438" s="26"/>
      <c r="H438" s="27"/>
      <c r="I438" s="28"/>
      <c r="J438" s="29"/>
      <c r="K438" s="24"/>
    </row>
    <row r="439" spans="6:11" ht="15.75">
      <c r="F439" s="25"/>
      <c r="G439" s="26"/>
      <c r="H439" s="27"/>
      <c r="I439" s="28"/>
      <c r="J439" s="29"/>
      <c r="K439" s="24"/>
    </row>
    <row r="440" spans="6:11" ht="15.75">
      <c r="F440" s="25"/>
      <c r="G440" s="26"/>
      <c r="H440" s="27"/>
      <c r="I440" s="28"/>
      <c r="J440" s="29"/>
      <c r="K440" s="24"/>
    </row>
    <row r="441" spans="6:11" ht="15.75">
      <c r="F441" s="25"/>
      <c r="G441" s="26"/>
      <c r="H441" s="27"/>
      <c r="I441" s="28"/>
      <c r="J441" s="29"/>
      <c r="K441" s="24"/>
    </row>
    <row r="442" spans="6:11" ht="15.75">
      <c r="F442" s="25"/>
      <c r="G442" s="26"/>
      <c r="H442" s="27"/>
      <c r="I442" s="28"/>
      <c r="J442" s="29"/>
      <c r="K442" s="24"/>
    </row>
    <row r="443" spans="6:11" ht="15.75">
      <c r="F443" s="25"/>
      <c r="G443" s="26"/>
      <c r="H443" s="27"/>
      <c r="I443" s="28"/>
      <c r="J443" s="29"/>
      <c r="K443" s="24"/>
    </row>
    <row r="444" spans="6:11" ht="15.75">
      <c r="F444" s="25"/>
      <c r="G444" s="26"/>
      <c r="H444" s="27"/>
      <c r="I444" s="28"/>
      <c r="J444" s="29"/>
      <c r="K444" s="24"/>
    </row>
    <row r="445" spans="6:11" ht="15.75">
      <c r="F445" s="25"/>
      <c r="G445" s="26"/>
      <c r="H445" s="27"/>
      <c r="I445" s="28"/>
      <c r="J445" s="29"/>
      <c r="K445" s="24"/>
    </row>
    <row r="446" spans="6:11" ht="15.75">
      <c r="F446" s="25"/>
      <c r="G446" s="26"/>
      <c r="H446" s="27"/>
      <c r="I446" s="28"/>
      <c r="J446" s="29"/>
      <c r="K446" s="24"/>
    </row>
    <row r="447" spans="6:11" ht="15.75">
      <c r="F447" s="25"/>
      <c r="G447" s="26"/>
      <c r="H447" s="27"/>
      <c r="I447" s="28"/>
      <c r="J447" s="29"/>
      <c r="K447" s="24"/>
    </row>
    <row r="448" spans="6:11" ht="15.75">
      <c r="F448" s="25"/>
      <c r="G448" s="26"/>
      <c r="H448" s="27"/>
      <c r="I448" s="28"/>
      <c r="J448" s="29"/>
      <c r="K448" s="24"/>
    </row>
    <row r="449" spans="6:11" ht="15.75">
      <c r="F449" s="25"/>
      <c r="G449" s="26"/>
      <c r="H449" s="27"/>
      <c r="I449" s="28"/>
      <c r="J449" s="29"/>
      <c r="K449" s="24"/>
    </row>
    <row r="450" spans="6:11" ht="15.75">
      <c r="F450" s="25"/>
      <c r="G450" s="26"/>
      <c r="H450" s="27"/>
      <c r="I450" s="28"/>
      <c r="J450" s="29"/>
      <c r="K450" s="24"/>
    </row>
    <row r="451" spans="6:11" ht="15.75">
      <c r="F451" s="25"/>
      <c r="G451" s="26"/>
      <c r="H451" s="27"/>
      <c r="I451" s="28"/>
      <c r="J451" s="29"/>
      <c r="K451" s="24"/>
    </row>
    <row r="452" spans="6:11" ht="15.75">
      <c r="F452" s="25"/>
      <c r="G452" s="26"/>
      <c r="H452" s="27"/>
      <c r="I452" s="28"/>
      <c r="J452" s="29"/>
      <c r="K452" s="24"/>
    </row>
    <row r="453" spans="6:11" ht="15.75">
      <c r="F453" s="25"/>
      <c r="G453" s="26"/>
      <c r="H453" s="27"/>
      <c r="I453" s="28"/>
      <c r="J453" s="29"/>
      <c r="K453" s="24"/>
    </row>
    <row r="454" spans="6:11" ht="15.75">
      <c r="F454" s="25"/>
      <c r="G454" s="26"/>
      <c r="H454" s="27"/>
      <c r="I454" s="28"/>
      <c r="J454" s="29"/>
      <c r="K454" s="24"/>
    </row>
    <row r="455" spans="6:11" ht="15.75">
      <c r="F455" s="25"/>
      <c r="G455" s="26"/>
      <c r="H455" s="27"/>
      <c r="I455" s="28"/>
      <c r="J455" s="29"/>
      <c r="K455" s="24"/>
    </row>
    <row r="456" spans="6:11" ht="15.75">
      <c r="F456" s="25"/>
      <c r="G456" s="26"/>
      <c r="H456" s="27"/>
      <c r="I456" s="28"/>
      <c r="J456" s="29"/>
      <c r="K456" s="24"/>
    </row>
    <row r="457" spans="6:11" ht="15.75">
      <c r="F457" s="25"/>
      <c r="G457" s="26"/>
      <c r="H457" s="27"/>
      <c r="I457" s="28"/>
      <c r="J457" s="29"/>
      <c r="K457" s="24"/>
    </row>
    <row r="458" spans="6:11" ht="15.75">
      <c r="F458" s="25"/>
      <c r="G458" s="26"/>
      <c r="H458" s="27"/>
      <c r="I458" s="28"/>
      <c r="J458" s="29"/>
      <c r="K458" s="24"/>
    </row>
    <row r="459" spans="6:11" ht="15.75">
      <c r="F459" s="25"/>
      <c r="G459" s="26"/>
      <c r="H459" s="27"/>
      <c r="I459" s="28"/>
      <c r="J459" s="29"/>
      <c r="K459" s="24"/>
    </row>
    <row r="460" spans="6:11" ht="15.75">
      <c r="F460" s="25"/>
      <c r="G460" s="26"/>
      <c r="H460" s="27"/>
      <c r="I460" s="28"/>
      <c r="J460" s="29"/>
      <c r="K460" s="24"/>
    </row>
    <row r="461" spans="6:11" ht="15.75">
      <c r="F461" s="25"/>
      <c r="G461" s="26"/>
      <c r="H461" s="27"/>
      <c r="I461" s="28"/>
      <c r="J461" s="29"/>
      <c r="K461" s="24"/>
    </row>
    <row r="462" spans="6:11" ht="15.75">
      <c r="F462" s="25"/>
      <c r="G462" s="26"/>
      <c r="H462" s="27"/>
      <c r="I462" s="28"/>
      <c r="J462" s="29"/>
      <c r="K462" s="24"/>
    </row>
    <row r="463" spans="6:11" ht="15.75">
      <c r="F463" s="25"/>
      <c r="G463" s="26"/>
      <c r="H463" s="27"/>
      <c r="I463" s="28"/>
      <c r="J463" s="29"/>
      <c r="K463" s="24"/>
    </row>
    <row r="464" spans="6:11" ht="15.75">
      <c r="F464" s="25"/>
      <c r="G464" s="26"/>
      <c r="H464" s="27"/>
      <c r="I464" s="28"/>
      <c r="J464" s="29"/>
      <c r="K464" s="24"/>
    </row>
    <row r="465" spans="6:11" ht="15.75">
      <c r="F465" s="25"/>
      <c r="G465" s="26"/>
      <c r="H465" s="27"/>
      <c r="I465" s="28"/>
      <c r="J465" s="29"/>
      <c r="K465" s="24"/>
    </row>
    <row r="466" spans="6:11" ht="15.75">
      <c r="F466" s="25"/>
      <c r="G466" s="26"/>
      <c r="H466" s="27"/>
      <c r="I466" s="28"/>
      <c r="J466" s="29"/>
      <c r="K466" s="24"/>
    </row>
    <row r="467" spans="6:11" ht="15.75">
      <c r="F467" s="25"/>
      <c r="G467" s="26"/>
      <c r="H467" s="27"/>
      <c r="I467" s="28"/>
      <c r="J467" s="29"/>
      <c r="K467" s="24"/>
    </row>
    <row r="468" spans="6:11" ht="15.75">
      <c r="F468" s="25"/>
      <c r="G468" s="26"/>
      <c r="H468" s="27"/>
      <c r="I468" s="28"/>
      <c r="J468" s="29"/>
      <c r="K468" s="24"/>
    </row>
    <row r="469" spans="6:11" ht="15.75">
      <c r="F469" s="25"/>
      <c r="G469" s="26"/>
      <c r="H469" s="27"/>
      <c r="I469" s="28"/>
      <c r="J469" s="29"/>
      <c r="K469" s="24"/>
    </row>
    <row r="470" spans="6:11" ht="15.75">
      <c r="F470" s="25"/>
      <c r="G470" s="26"/>
      <c r="H470" s="27"/>
      <c r="I470" s="28"/>
      <c r="J470" s="29"/>
      <c r="K470" s="24"/>
    </row>
    <row r="471" spans="6:11" ht="15.75">
      <c r="F471" s="25"/>
      <c r="G471" s="26"/>
      <c r="H471" s="27"/>
      <c r="I471" s="28"/>
      <c r="J471" s="29"/>
      <c r="K471" s="24"/>
    </row>
    <row r="472" spans="6:11" ht="15.75">
      <c r="F472" s="25"/>
      <c r="G472" s="26"/>
      <c r="H472" s="27"/>
      <c r="I472" s="28"/>
      <c r="J472" s="29"/>
      <c r="K472" s="24"/>
    </row>
    <row r="473" spans="6:11" ht="15.75">
      <c r="F473" s="25"/>
      <c r="G473" s="26"/>
      <c r="H473" s="27"/>
      <c r="I473" s="28"/>
      <c r="J473" s="29"/>
      <c r="K473" s="24"/>
    </row>
    <row r="474" spans="6:11" ht="15.75">
      <c r="F474" s="25"/>
      <c r="G474" s="26"/>
      <c r="H474" s="27"/>
      <c r="I474" s="28"/>
      <c r="J474" s="29"/>
      <c r="K474" s="24"/>
    </row>
    <row r="475" spans="6:11" ht="15.75">
      <c r="F475" s="25"/>
      <c r="G475" s="26"/>
      <c r="H475" s="27"/>
      <c r="I475" s="28"/>
      <c r="J475" s="29"/>
      <c r="K475" s="24"/>
    </row>
    <row r="476" spans="6:11" ht="15.75">
      <c r="F476" s="25"/>
      <c r="G476" s="26"/>
      <c r="H476" s="27"/>
      <c r="I476" s="28"/>
      <c r="J476" s="29"/>
      <c r="K476" s="24"/>
    </row>
    <row r="477" spans="6:11" ht="15.75">
      <c r="F477" s="25"/>
      <c r="G477" s="26"/>
      <c r="H477" s="27"/>
      <c r="I477" s="28"/>
      <c r="J477" s="29"/>
      <c r="K477" s="24"/>
    </row>
    <row r="478" spans="6:11" ht="15.75">
      <c r="F478" s="25"/>
      <c r="G478" s="26"/>
      <c r="H478" s="27"/>
      <c r="I478" s="28"/>
      <c r="J478" s="29"/>
      <c r="K478" s="24"/>
    </row>
    <row r="479" spans="6:11" ht="15.75">
      <c r="F479" s="25"/>
      <c r="G479" s="26"/>
      <c r="H479" s="27"/>
      <c r="I479" s="28"/>
      <c r="J479" s="29"/>
      <c r="K479" s="24"/>
    </row>
    <row r="480" spans="6:11" ht="15.75">
      <c r="F480" s="25"/>
      <c r="G480" s="26"/>
      <c r="H480" s="27"/>
      <c r="I480" s="28"/>
      <c r="J480" s="29"/>
      <c r="K480" s="24"/>
    </row>
    <row r="481" spans="6:11" ht="15.75">
      <c r="F481" s="25"/>
      <c r="G481" s="26"/>
      <c r="H481" s="27"/>
      <c r="I481" s="28"/>
      <c r="J481" s="29"/>
      <c r="K481" s="24"/>
    </row>
    <row r="482" spans="6:11" ht="15.75">
      <c r="F482" s="25"/>
      <c r="G482" s="26"/>
      <c r="H482" s="27"/>
      <c r="I482" s="28"/>
      <c r="J482" s="29"/>
      <c r="K482" s="24"/>
    </row>
    <row r="483" spans="6:11" ht="15.75">
      <c r="F483" s="25"/>
      <c r="G483" s="26"/>
      <c r="H483" s="27"/>
      <c r="I483" s="28"/>
      <c r="J483" s="29"/>
      <c r="K483" s="24"/>
    </row>
    <row r="484" spans="6:11" ht="15.75">
      <c r="F484" s="25"/>
      <c r="G484" s="26"/>
      <c r="H484" s="27"/>
      <c r="I484" s="28"/>
      <c r="J484" s="29"/>
      <c r="K484" s="24"/>
    </row>
    <row r="485" spans="6:11" ht="15.75">
      <c r="F485" s="25"/>
      <c r="G485" s="26"/>
      <c r="H485" s="27"/>
      <c r="I485" s="28"/>
      <c r="J485" s="29"/>
      <c r="K485" s="24"/>
    </row>
    <row r="486" spans="6:11" ht="15.75">
      <c r="F486" s="25"/>
      <c r="G486" s="26"/>
      <c r="H486" s="27"/>
      <c r="I486" s="28"/>
      <c r="J486" s="29"/>
      <c r="K486" s="24"/>
    </row>
    <row r="487" spans="6:11" ht="15.75">
      <c r="F487" s="25"/>
      <c r="G487" s="26"/>
      <c r="H487" s="27"/>
      <c r="I487" s="28"/>
      <c r="J487" s="29"/>
      <c r="K487" s="24"/>
    </row>
    <row r="488" spans="6:11" ht="15.75">
      <c r="F488" s="25"/>
      <c r="G488" s="26"/>
      <c r="H488" s="27"/>
      <c r="I488" s="28"/>
      <c r="J488" s="29"/>
      <c r="K488" s="24"/>
    </row>
    <row r="489" spans="6:11" ht="15.75">
      <c r="F489" s="25"/>
      <c r="G489" s="26"/>
      <c r="H489" s="27"/>
      <c r="I489" s="28"/>
      <c r="J489" s="29"/>
      <c r="K489" s="24"/>
    </row>
    <row r="490" spans="6:11" ht="15.75">
      <c r="F490" s="25"/>
      <c r="G490" s="26"/>
      <c r="H490" s="27"/>
      <c r="I490" s="28"/>
      <c r="J490" s="29"/>
      <c r="K490" s="24"/>
    </row>
    <row r="491" spans="6:11" ht="15.75">
      <c r="F491" s="25"/>
      <c r="G491" s="26"/>
      <c r="H491" s="27"/>
      <c r="I491" s="28"/>
      <c r="J491" s="29"/>
      <c r="K491" s="24"/>
    </row>
    <row r="492" spans="6:11" ht="15.75">
      <c r="F492" s="25"/>
      <c r="G492" s="26"/>
      <c r="H492" s="27"/>
      <c r="I492" s="28"/>
      <c r="J492" s="29"/>
      <c r="K492" s="24"/>
    </row>
    <row r="493" spans="6:11" ht="15.75">
      <c r="F493" s="25"/>
      <c r="G493" s="26"/>
      <c r="H493" s="27"/>
      <c r="I493" s="28"/>
      <c r="J493" s="29"/>
      <c r="K493" s="24"/>
    </row>
    <row r="494" spans="6:11" ht="15.75">
      <c r="F494" s="25"/>
      <c r="G494" s="26"/>
      <c r="H494" s="27"/>
      <c r="I494" s="28"/>
      <c r="J494" s="29"/>
      <c r="K494" s="24"/>
    </row>
    <row r="495" spans="6:11" ht="15.75">
      <c r="F495" s="25"/>
      <c r="G495" s="26"/>
      <c r="H495" s="27"/>
      <c r="I495" s="28"/>
      <c r="J495" s="29"/>
      <c r="K495" s="24"/>
    </row>
    <row r="496" spans="6:11" ht="15.75">
      <c r="F496" s="25"/>
      <c r="G496" s="26"/>
      <c r="H496" s="27"/>
      <c r="I496" s="28"/>
      <c r="J496" s="29"/>
      <c r="K496" s="24"/>
    </row>
    <row r="497" spans="6:11" ht="15.75">
      <c r="F497" s="25"/>
      <c r="G497" s="26"/>
      <c r="H497" s="27"/>
      <c r="I497" s="28"/>
      <c r="J497" s="29"/>
      <c r="K497" s="24"/>
    </row>
    <row r="498" spans="6:11" ht="15.75">
      <c r="F498" s="25"/>
      <c r="G498" s="26"/>
      <c r="H498" s="27"/>
      <c r="I498" s="28"/>
      <c r="J498" s="29"/>
      <c r="K498" s="24"/>
    </row>
    <row r="499" spans="6:11" ht="15.75">
      <c r="F499" s="25"/>
      <c r="G499" s="26"/>
      <c r="H499" s="27"/>
      <c r="I499" s="28"/>
      <c r="J499" s="29"/>
      <c r="K499" s="24"/>
    </row>
    <row r="500" spans="6:11" ht="15.75">
      <c r="F500" s="25"/>
      <c r="G500" s="26"/>
      <c r="H500" s="27"/>
      <c r="I500" s="28"/>
      <c r="J500" s="29"/>
      <c r="K500" s="24"/>
    </row>
    <row r="501" spans="6:11" ht="15.75">
      <c r="F501" s="25"/>
      <c r="G501" s="26"/>
      <c r="H501" s="27"/>
      <c r="I501" s="28"/>
      <c r="J501" s="29"/>
      <c r="K501" s="24"/>
    </row>
    <row r="502" spans="6:11" ht="15.75">
      <c r="F502" s="25"/>
      <c r="G502" s="26"/>
      <c r="H502" s="27"/>
      <c r="I502" s="28"/>
      <c r="J502" s="29"/>
      <c r="K502" s="24"/>
    </row>
    <row r="503" spans="6:11" ht="15.75">
      <c r="F503" s="25"/>
      <c r="G503" s="26"/>
      <c r="H503" s="27"/>
      <c r="I503" s="28"/>
      <c r="J503" s="29"/>
      <c r="K503" s="24"/>
    </row>
    <row r="504" spans="6:11" ht="15.75">
      <c r="F504" s="25"/>
      <c r="G504" s="26"/>
      <c r="H504" s="27"/>
      <c r="I504" s="28"/>
      <c r="J504" s="29"/>
      <c r="K504" s="24"/>
    </row>
    <row r="505" spans="6:11" ht="15.75">
      <c r="F505" s="25"/>
      <c r="G505" s="26"/>
      <c r="H505" s="27"/>
      <c r="I505" s="28"/>
      <c r="J505" s="29"/>
      <c r="K505" s="24"/>
    </row>
    <row r="506" spans="6:11" ht="15.75">
      <c r="F506" s="25"/>
      <c r="G506" s="26"/>
      <c r="H506" s="27"/>
      <c r="I506" s="28"/>
      <c r="J506" s="29"/>
      <c r="K506" s="24"/>
    </row>
    <row r="507" spans="6:11" ht="15.75">
      <c r="F507" s="25"/>
      <c r="G507" s="26"/>
      <c r="H507" s="27"/>
      <c r="I507" s="28"/>
      <c r="J507" s="29"/>
      <c r="K507" s="24"/>
    </row>
    <row r="508" spans="6:11" ht="15.75">
      <c r="F508" s="25"/>
      <c r="G508" s="26"/>
      <c r="H508" s="27"/>
      <c r="I508" s="28"/>
      <c r="J508" s="29"/>
      <c r="K508" s="24"/>
    </row>
    <row r="509" spans="6:11" ht="15.75">
      <c r="F509" s="25"/>
      <c r="G509" s="26"/>
      <c r="H509" s="27"/>
      <c r="I509" s="28"/>
      <c r="J509" s="29"/>
      <c r="K509" s="24"/>
    </row>
    <row r="510" spans="6:11" ht="15.75">
      <c r="F510" s="25"/>
      <c r="G510" s="26"/>
      <c r="H510" s="27"/>
      <c r="I510" s="28"/>
      <c r="J510" s="29"/>
      <c r="K510" s="24"/>
    </row>
    <row r="511" spans="6:11" ht="15.75">
      <c r="F511" s="25"/>
      <c r="G511" s="26"/>
      <c r="H511" s="27"/>
      <c r="I511" s="28"/>
      <c r="J511" s="29"/>
      <c r="K511" s="24"/>
    </row>
    <row r="512" spans="6:11" ht="15.75">
      <c r="F512" s="25"/>
      <c r="G512" s="26"/>
      <c r="H512" s="27"/>
      <c r="I512" s="28"/>
      <c r="J512" s="29"/>
      <c r="K512" s="24"/>
    </row>
    <row r="513" spans="6:11" ht="15.75">
      <c r="F513" s="25"/>
      <c r="G513" s="26"/>
      <c r="H513" s="27"/>
      <c r="I513" s="28"/>
      <c r="J513" s="29"/>
      <c r="K513" s="24"/>
    </row>
    <row r="514" spans="6:11" ht="15.75">
      <c r="F514" s="25"/>
      <c r="G514" s="26"/>
      <c r="H514" s="27"/>
      <c r="I514" s="28"/>
      <c r="J514" s="29"/>
      <c r="K514" s="24"/>
    </row>
    <row r="515" spans="6:11" ht="15.75">
      <c r="F515" s="25"/>
      <c r="G515" s="26"/>
      <c r="H515" s="27"/>
      <c r="I515" s="28"/>
      <c r="J515" s="29"/>
      <c r="K515" s="24"/>
    </row>
    <row r="516" spans="6:11" ht="15.75">
      <c r="F516" s="25"/>
      <c r="G516" s="26"/>
      <c r="H516" s="27"/>
      <c r="I516" s="28"/>
      <c r="J516" s="29"/>
      <c r="K516" s="24"/>
    </row>
    <row r="517" spans="6:11" ht="15.75">
      <c r="F517" s="25"/>
      <c r="G517" s="26"/>
      <c r="H517" s="27"/>
      <c r="I517" s="28"/>
      <c r="J517" s="29"/>
      <c r="K517" s="24"/>
    </row>
    <row r="518" spans="6:11" ht="15.75">
      <c r="F518" s="25"/>
      <c r="G518" s="26"/>
      <c r="H518" s="27"/>
      <c r="I518" s="28"/>
      <c r="J518" s="29"/>
      <c r="K518" s="24"/>
    </row>
    <row r="519" spans="6:11" ht="15.75">
      <c r="F519" s="25"/>
      <c r="G519" s="26"/>
      <c r="H519" s="27"/>
      <c r="I519" s="28"/>
      <c r="J519" s="29"/>
      <c r="K519" s="24"/>
    </row>
    <row r="520" spans="6:11" ht="15.75">
      <c r="F520" s="25"/>
      <c r="G520" s="26"/>
      <c r="H520" s="27"/>
      <c r="I520" s="28"/>
      <c r="J520" s="29"/>
      <c r="K520" s="24"/>
    </row>
    <row r="521" spans="6:11" ht="15.75">
      <c r="F521" s="25"/>
      <c r="G521" s="26"/>
      <c r="H521" s="27"/>
      <c r="I521" s="28"/>
      <c r="J521" s="29"/>
      <c r="K521" s="24"/>
    </row>
    <row r="522" spans="6:11" ht="15.75">
      <c r="F522" s="25"/>
      <c r="G522" s="26"/>
      <c r="H522" s="27"/>
      <c r="I522" s="28"/>
      <c r="J522" s="29"/>
      <c r="K522" s="24"/>
    </row>
    <row r="523" spans="6:11" ht="15.75">
      <c r="F523" s="25"/>
      <c r="G523" s="26"/>
      <c r="H523" s="27"/>
      <c r="I523" s="28"/>
      <c r="J523" s="29"/>
      <c r="K523" s="24"/>
    </row>
    <row r="524" spans="6:11" ht="15.75">
      <c r="F524" s="25"/>
      <c r="G524" s="26"/>
      <c r="H524" s="27"/>
      <c r="I524" s="28"/>
      <c r="J524" s="29"/>
      <c r="K524" s="24"/>
    </row>
    <row r="525" spans="6:11" ht="15.75">
      <c r="F525" s="25"/>
      <c r="G525" s="26"/>
      <c r="H525" s="27"/>
      <c r="I525" s="28"/>
      <c r="J525" s="29"/>
      <c r="K525" s="24"/>
    </row>
    <row r="526" spans="6:11" ht="15.75">
      <c r="F526" s="25"/>
      <c r="G526" s="26"/>
      <c r="H526" s="27"/>
      <c r="I526" s="28"/>
      <c r="J526" s="29"/>
      <c r="K526" s="24"/>
    </row>
    <row r="527" spans="6:11" ht="15.75">
      <c r="F527" s="25"/>
      <c r="G527" s="26"/>
      <c r="H527" s="27"/>
      <c r="I527" s="28"/>
      <c r="J527" s="29"/>
      <c r="K527" s="24"/>
    </row>
    <row r="528" spans="6:11" ht="15.75">
      <c r="F528" s="25"/>
      <c r="G528" s="26"/>
      <c r="H528" s="27"/>
      <c r="I528" s="28"/>
      <c r="J528" s="29"/>
      <c r="K528" s="24"/>
    </row>
    <row r="529" spans="6:11" ht="15.75">
      <c r="F529" s="25"/>
      <c r="G529" s="26"/>
      <c r="H529" s="27"/>
      <c r="I529" s="28"/>
      <c r="J529" s="29"/>
      <c r="K529" s="24"/>
    </row>
    <row r="530" spans="6:11" ht="15.75">
      <c r="F530" s="25"/>
      <c r="G530" s="26"/>
      <c r="H530" s="27"/>
      <c r="I530" s="28"/>
      <c r="J530" s="29"/>
      <c r="K530" s="24"/>
    </row>
    <row r="531" spans="6:11" ht="15.75">
      <c r="F531" s="25"/>
      <c r="G531" s="26"/>
      <c r="H531" s="27"/>
      <c r="I531" s="28"/>
      <c r="J531" s="29"/>
      <c r="K531" s="24"/>
    </row>
    <row r="532" spans="6:11" ht="15.75">
      <c r="F532" s="25"/>
      <c r="G532" s="26"/>
      <c r="H532" s="27"/>
      <c r="I532" s="28"/>
      <c r="J532" s="29"/>
      <c r="K532" s="24"/>
    </row>
    <row r="533" spans="6:11" ht="15.75">
      <c r="F533" s="25"/>
      <c r="G533" s="26"/>
      <c r="H533" s="27"/>
      <c r="I533" s="28"/>
      <c r="J533" s="29"/>
      <c r="K533" s="24"/>
    </row>
    <row r="534" spans="6:11" ht="15.75">
      <c r="F534" s="25"/>
      <c r="G534" s="26"/>
      <c r="H534" s="27"/>
      <c r="I534" s="28"/>
      <c r="J534" s="29"/>
      <c r="K534" s="24"/>
    </row>
    <row r="535" spans="6:11" ht="15.75">
      <c r="F535" s="25"/>
      <c r="G535" s="26"/>
      <c r="H535" s="27"/>
      <c r="I535" s="28"/>
      <c r="J535" s="29"/>
      <c r="K535" s="24"/>
    </row>
    <row r="536" spans="6:11" ht="15.75">
      <c r="F536" s="25"/>
      <c r="G536" s="26"/>
      <c r="H536" s="27"/>
      <c r="I536" s="28"/>
      <c r="J536" s="29"/>
      <c r="K536" s="24"/>
    </row>
    <row r="537" spans="6:11" ht="15.75">
      <c r="F537" s="25"/>
      <c r="G537" s="26"/>
      <c r="H537" s="27"/>
      <c r="I537" s="28"/>
      <c r="J537" s="29"/>
      <c r="K537" s="24"/>
    </row>
    <row r="538" spans="6:11" ht="15.75">
      <c r="F538" s="25"/>
      <c r="G538" s="26"/>
      <c r="H538" s="27"/>
      <c r="I538" s="28"/>
      <c r="J538" s="29"/>
      <c r="K538" s="24"/>
    </row>
    <row r="539" spans="6:11" ht="15.75">
      <c r="F539" s="25"/>
      <c r="G539" s="26"/>
      <c r="H539" s="27"/>
      <c r="I539" s="28"/>
      <c r="J539" s="29"/>
      <c r="K539" s="24"/>
    </row>
    <row r="540" spans="6:11" ht="15.75">
      <c r="F540" s="25"/>
      <c r="G540" s="26"/>
      <c r="H540" s="27"/>
      <c r="I540" s="28"/>
      <c r="J540" s="29"/>
      <c r="K540" s="24"/>
    </row>
    <row r="541" spans="6:11" ht="15.75">
      <c r="F541" s="25"/>
      <c r="G541" s="26"/>
      <c r="H541" s="27"/>
      <c r="I541" s="28"/>
      <c r="J541" s="29"/>
      <c r="K541" s="24"/>
    </row>
    <row r="542" spans="6:11" ht="15.75">
      <c r="F542" s="25"/>
      <c r="G542" s="26"/>
      <c r="H542" s="27"/>
      <c r="I542" s="28"/>
      <c r="J542" s="29"/>
      <c r="K542" s="24"/>
    </row>
    <row r="543" spans="6:11" ht="15.75">
      <c r="F543" s="25"/>
      <c r="G543" s="26"/>
      <c r="H543" s="27"/>
      <c r="I543" s="28"/>
      <c r="J543" s="29"/>
      <c r="K543" s="24"/>
    </row>
    <row r="544" spans="6:11" ht="15.75">
      <c r="F544" s="25"/>
      <c r="G544" s="26"/>
      <c r="H544" s="27"/>
      <c r="I544" s="28"/>
      <c r="J544" s="29"/>
      <c r="K544" s="24"/>
    </row>
    <row r="545" spans="6:11" ht="15.75">
      <c r="F545" s="25"/>
      <c r="G545" s="26"/>
      <c r="H545" s="27"/>
      <c r="I545" s="28"/>
      <c r="J545" s="29"/>
      <c r="K545" s="24"/>
    </row>
    <row r="546" spans="6:11" ht="15.75">
      <c r="F546" s="25"/>
      <c r="G546" s="26"/>
      <c r="H546" s="27"/>
      <c r="I546" s="28"/>
      <c r="J546" s="29"/>
      <c r="K546" s="24"/>
    </row>
    <row r="547" spans="6:11" ht="15.75">
      <c r="F547" s="25"/>
      <c r="G547" s="26"/>
      <c r="H547" s="27"/>
      <c r="I547" s="28"/>
      <c r="J547" s="29"/>
      <c r="K547" s="24"/>
    </row>
    <row r="548" spans="6:11" ht="15.75">
      <c r="F548" s="25"/>
      <c r="G548" s="26"/>
      <c r="H548" s="27"/>
      <c r="I548" s="28"/>
      <c r="J548" s="29"/>
      <c r="K548" s="24"/>
    </row>
    <row r="549" spans="6:11" ht="15.75">
      <c r="F549" s="25"/>
      <c r="G549" s="26"/>
      <c r="H549" s="27"/>
      <c r="I549" s="28"/>
      <c r="J549" s="29"/>
      <c r="K549" s="24"/>
    </row>
    <row r="550" spans="6:11" ht="15.75">
      <c r="F550" s="25"/>
      <c r="G550" s="26"/>
      <c r="H550" s="27"/>
      <c r="I550" s="28"/>
      <c r="J550" s="29"/>
      <c r="K550" s="24"/>
    </row>
    <row r="551" spans="6:11" ht="15.75">
      <c r="F551" s="25"/>
      <c r="G551" s="26"/>
      <c r="H551" s="27"/>
      <c r="I551" s="28"/>
      <c r="J551" s="29"/>
      <c r="K551" s="24"/>
    </row>
    <row r="552" spans="6:11" ht="15.75">
      <c r="F552" s="25"/>
      <c r="G552" s="26"/>
      <c r="H552" s="27"/>
      <c r="I552" s="28"/>
      <c r="J552" s="29"/>
      <c r="K552" s="24"/>
    </row>
    <row r="553" spans="6:11" ht="15.75">
      <c r="F553" s="25"/>
      <c r="G553" s="26"/>
      <c r="H553" s="27"/>
      <c r="I553" s="28"/>
      <c r="J553" s="29"/>
      <c r="K553" s="24"/>
    </row>
    <row r="554" spans="6:11" ht="15.75">
      <c r="F554" s="25"/>
      <c r="G554" s="26"/>
      <c r="H554" s="27"/>
      <c r="I554" s="28"/>
      <c r="J554" s="29"/>
      <c r="K554" s="24"/>
    </row>
    <row r="555" spans="6:11" ht="15.75">
      <c r="F555" s="25"/>
      <c r="G555" s="26"/>
      <c r="H555" s="27"/>
      <c r="I555" s="28"/>
      <c r="J555" s="29"/>
      <c r="K555" s="24"/>
    </row>
    <row r="556" spans="6:11" ht="15.75">
      <c r="F556" s="25"/>
      <c r="G556" s="26"/>
      <c r="H556" s="27"/>
      <c r="I556" s="28"/>
      <c r="J556" s="29"/>
      <c r="K556" s="24"/>
    </row>
    <row r="557" spans="6:11" ht="15.75">
      <c r="F557" s="25"/>
      <c r="G557" s="26"/>
      <c r="H557" s="27"/>
      <c r="I557" s="28"/>
      <c r="J557" s="29"/>
      <c r="K557" s="24"/>
    </row>
    <row r="558" spans="6:11" ht="15.75">
      <c r="F558" s="25"/>
      <c r="G558" s="26"/>
      <c r="H558" s="27"/>
      <c r="I558" s="28"/>
      <c r="J558" s="29"/>
      <c r="K558" s="24"/>
    </row>
    <row r="559" spans="6:11" ht="15.75">
      <c r="F559" s="25"/>
      <c r="G559" s="26"/>
      <c r="H559" s="27"/>
      <c r="I559" s="28"/>
      <c r="J559" s="29"/>
      <c r="K559" s="24"/>
    </row>
    <row r="560" spans="6:11" ht="15.75">
      <c r="F560" s="25"/>
      <c r="G560" s="26"/>
      <c r="H560" s="27"/>
      <c r="I560" s="28"/>
      <c r="J560" s="29"/>
      <c r="K560" s="24"/>
    </row>
    <row r="561" spans="6:11" ht="15.75">
      <c r="F561" s="25"/>
      <c r="G561" s="26"/>
      <c r="H561" s="27"/>
      <c r="I561" s="28"/>
      <c r="J561" s="29"/>
      <c r="K561" s="24"/>
    </row>
    <row r="562" spans="6:11" ht="15.75">
      <c r="F562" s="25"/>
      <c r="G562" s="26"/>
      <c r="H562" s="27"/>
      <c r="I562" s="28"/>
      <c r="J562" s="29"/>
      <c r="K562" s="24"/>
    </row>
    <row r="563" spans="6:11" ht="15.75">
      <c r="F563" s="25"/>
      <c r="G563" s="26"/>
      <c r="H563" s="27"/>
      <c r="I563" s="28"/>
      <c r="J563" s="29"/>
      <c r="K563" s="24"/>
    </row>
    <row r="564" spans="6:11" ht="15.75">
      <c r="F564" s="25"/>
      <c r="G564" s="26"/>
      <c r="H564" s="27"/>
      <c r="I564" s="28"/>
      <c r="J564" s="29"/>
      <c r="K564" s="24"/>
    </row>
    <row r="565" spans="6:11" ht="15.75">
      <c r="F565" s="25"/>
      <c r="G565" s="26"/>
      <c r="H565" s="27"/>
      <c r="I565" s="28"/>
      <c r="J565" s="29"/>
      <c r="K565" s="24"/>
    </row>
    <row r="566" spans="6:11" ht="15.75">
      <c r="F566" s="25"/>
      <c r="G566" s="26"/>
      <c r="H566" s="27"/>
      <c r="I566" s="28"/>
      <c r="J566" s="29"/>
      <c r="K566" s="24"/>
    </row>
    <row r="567" spans="6:11" ht="15.75">
      <c r="F567" s="25"/>
      <c r="G567" s="26"/>
      <c r="H567" s="27"/>
      <c r="I567" s="28"/>
      <c r="J567" s="29"/>
      <c r="K567" s="24"/>
    </row>
    <row r="568" spans="6:11" ht="15.75">
      <c r="F568" s="25"/>
      <c r="G568" s="26"/>
      <c r="H568" s="27"/>
      <c r="I568" s="28"/>
      <c r="J568" s="29"/>
      <c r="K568" s="24"/>
    </row>
    <row r="569" spans="6:11" ht="15.75">
      <c r="F569" s="25"/>
      <c r="G569" s="26"/>
      <c r="H569" s="27"/>
      <c r="I569" s="28"/>
      <c r="J569" s="29"/>
      <c r="K569" s="24"/>
    </row>
    <row r="570" spans="6:11" ht="15.75">
      <c r="F570" s="25"/>
      <c r="G570" s="26"/>
      <c r="H570" s="27"/>
      <c r="I570" s="28"/>
      <c r="J570" s="29"/>
      <c r="K570" s="24"/>
    </row>
    <row r="571" spans="6:11" ht="15.75">
      <c r="F571" s="25"/>
      <c r="G571" s="26"/>
      <c r="H571" s="27"/>
      <c r="I571" s="28"/>
      <c r="J571" s="29"/>
      <c r="K571" s="24"/>
    </row>
    <row r="572" spans="6:11" ht="15.75">
      <c r="F572" s="25"/>
      <c r="G572" s="26"/>
      <c r="H572" s="27"/>
      <c r="I572" s="28"/>
      <c r="J572" s="29"/>
      <c r="K572" s="24"/>
    </row>
    <row r="573" spans="6:11" ht="15.75">
      <c r="F573" s="25"/>
      <c r="G573" s="26"/>
      <c r="H573" s="27"/>
      <c r="I573" s="28"/>
      <c r="J573" s="29"/>
      <c r="K573" s="24"/>
    </row>
    <row r="574" spans="6:11" ht="15.75">
      <c r="F574" s="25"/>
      <c r="G574" s="26"/>
      <c r="H574" s="27"/>
      <c r="I574" s="28"/>
      <c r="J574" s="29"/>
      <c r="K574" s="24"/>
    </row>
    <row r="575" spans="6:11" ht="15.75">
      <c r="F575" s="25"/>
      <c r="G575" s="26"/>
      <c r="H575" s="27"/>
      <c r="I575" s="28"/>
      <c r="J575" s="29"/>
      <c r="K575" s="24"/>
    </row>
    <row r="576" spans="6:11" ht="15.75">
      <c r="F576" s="25"/>
      <c r="G576" s="26"/>
      <c r="H576" s="27"/>
      <c r="I576" s="28"/>
      <c r="J576" s="29"/>
      <c r="K576" s="24"/>
    </row>
    <row r="577" spans="6:11" ht="15.75">
      <c r="F577" s="25"/>
      <c r="G577" s="26"/>
      <c r="H577" s="27"/>
      <c r="I577" s="28"/>
      <c r="J577" s="29"/>
      <c r="K577" s="24"/>
    </row>
    <row r="578" spans="6:11" ht="15.75">
      <c r="F578" s="25"/>
      <c r="G578" s="26"/>
      <c r="H578" s="27"/>
      <c r="I578" s="28"/>
      <c r="J578" s="29"/>
      <c r="K578" s="24"/>
    </row>
    <row r="579" spans="6:11" ht="15.75">
      <c r="F579" s="25"/>
      <c r="G579" s="26"/>
      <c r="H579" s="27"/>
      <c r="I579" s="28"/>
      <c r="J579" s="29"/>
      <c r="K579" s="24"/>
    </row>
    <row r="580" spans="6:11" ht="15.75">
      <c r="F580" s="25"/>
      <c r="G580" s="26"/>
      <c r="H580" s="27"/>
      <c r="I580" s="28"/>
      <c r="J580" s="29"/>
      <c r="K580" s="24"/>
    </row>
    <row r="581" spans="6:11" ht="15.75">
      <c r="F581" s="25"/>
      <c r="G581" s="26"/>
      <c r="H581" s="27"/>
      <c r="I581" s="28"/>
      <c r="J581" s="29"/>
      <c r="K581" s="24"/>
    </row>
    <row r="582" spans="6:11" ht="15.75">
      <c r="F582" s="25"/>
      <c r="G582" s="26"/>
      <c r="H582" s="27"/>
      <c r="I582" s="28"/>
      <c r="J582" s="29"/>
      <c r="K582" s="24"/>
    </row>
    <row r="583" spans="6:11" ht="15.75">
      <c r="F583" s="25"/>
      <c r="G583" s="26"/>
      <c r="H583" s="27"/>
      <c r="I583" s="28"/>
      <c r="J583" s="29"/>
      <c r="K583" s="24"/>
    </row>
    <row r="584" spans="6:11" ht="15.75">
      <c r="F584" s="25"/>
      <c r="G584" s="26"/>
      <c r="H584" s="27"/>
      <c r="I584" s="28"/>
      <c r="J584" s="29"/>
      <c r="K584" s="24"/>
    </row>
    <row r="585" spans="6:11" ht="15.75">
      <c r="F585" s="25"/>
      <c r="G585" s="26"/>
      <c r="H585" s="27"/>
      <c r="I585" s="28"/>
      <c r="J585" s="29"/>
      <c r="K585" s="24"/>
    </row>
    <row r="586" spans="6:11" ht="15.75">
      <c r="F586" s="25"/>
      <c r="G586" s="26"/>
      <c r="H586" s="27"/>
      <c r="I586" s="28"/>
      <c r="J586" s="29"/>
      <c r="K586" s="24"/>
    </row>
    <row r="587" spans="6:11" ht="15.75">
      <c r="F587" s="25"/>
      <c r="G587" s="26"/>
      <c r="H587" s="27"/>
      <c r="I587" s="28"/>
      <c r="J587" s="29"/>
      <c r="K587" s="24"/>
    </row>
    <row r="588" spans="6:11">
      <c r="F588" s="24"/>
      <c r="G588" s="24"/>
      <c r="H588" s="24"/>
      <c r="I588" s="24"/>
      <c r="J588" s="24"/>
      <c r="K588" s="24"/>
    </row>
    <row r="589" spans="6:11">
      <c r="F589" s="24"/>
      <c r="G589" s="24"/>
      <c r="H589" s="24"/>
      <c r="I589" s="24"/>
      <c r="J589" s="24"/>
      <c r="K589" s="24"/>
    </row>
    <row r="590" spans="6:11">
      <c r="F590" s="24"/>
      <c r="G590" s="24"/>
      <c r="H590" s="24"/>
      <c r="I590" s="24"/>
      <c r="J590" s="24"/>
      <c r="K590" s="24"/>
    </row>
    <row r="591" spans="6:11">
      <c r="F591" s="24"/>
      <c r="G591" s="24"/>
      <c r="H591" s="24"/>
      <c r="I591" s="24"/>
      <c r="J591" s="24"/>
      <c r="K591" s="24"/>
    </row>
    <row r="592" spans="6:11">
      <c r="F592" s="24"/>
      <c r="G592" s="24"/>
      <c r="H592" s="24"/>
      <c r="I592" s="24"/>
      <c r="J592" s="24"/>
      <c r="K592" s="24"/>
    </row>
    <row r="593" spans="6:11">
      <c r="F593" s="24"/>
      <c r="G593" s="24"/>
      <c r="H593" s="24"/>
      <c r="I593" s="24"/>
      <c r="J593" s="24"/>
      <c r="K593" s="24"/>
    </row>
    <row r="594" spans="6:11">
      <c r="F594" s="24"/>
      <c r="G594" s="24"/>
      <c r="H594" s="24"/>
      <c r="I594" s="24"/>
      <c r="J594" s="24"/>
      <c r="K594" s="24"/>
    </row>
    <row r="595" spans="6:11">
      <c r="F595" s="24"/>
      <c r="G595" s="24"/>
      <c r="H595" s="24"/>
      <c r="I595" s="24"/>
      <c r="J595" s="24"/>
      <c r="K595" s="24"/>
    </row>
    <row r="596" spans="6:11">
      <c r="F596" s="24"/>
      <c r="G596" s="24"/>
      <c r="H596" s="24"/>
      <c r="I596" s="24"/>
      <c r="J596" s="24"/>
      <c r="K596" s="24"/>
    </row>
    <row r="597" spans="6:11">
      <c r="F597" s="24"/>
      <c r="G597" s="24"/>
      <c r="H597" s="24"/>
      <c r="I597" s="24"/>
      <c r="J597" s="24"/>
      <c r="K597" s="24"/>
    </row>
    <row r="598" spans="6:11">
      <c r="F598" s="24"/>
      <c r="G598" s="24"/>
      <c r="H598" s="24"/>
      <c r="I598" s="24"/>
      <c r="J598" s="24"/>
      <c r="K598" s="24"/>
    </row>
    <row r="599" spans="6:11">
      <c r="F599" s="24"/>
      <c r="G599" s="24"/>
      <c r="H599" s="24"/>
      <c r="I599" s="24"/>
      <c r="J599" s="24"/>
      <c r="K599" s="24"/>
    </row>
    <row r="600" spans="6:11">
      <c r="F600" s="24"/>
      <c r="G600" s="24"/>
      <c r="H600" s="24"/>
      <c r="I600" s="24"/>
      <c r="J600" s="24"/>
      <c r="K600" s="24"/>
    </row>
    <row r="601" spans="6:11">
      <c r="F601" s="24"/>
      <c r="G601" s="24"/>
      <c r="H601" s="24"/>
      <c r="I601" s="24"/>
      <c r="J601" s="24"/>
      <c r="K601" s="24"/>
    </row>
    <row r="602" spans="6:11">
      <c r="F602" s="24"/>
      <c r="G602" s="24"/>
      <c r="H602" s="24"/>
      <c r="I602" s="24"/>
      <c r="J602" s="24"/>
      <c r="K602" s="24"/>
    </row>
    <row r="603" spans="6:11">
      <c r="F603" s="24"/>
      <c r="G603" s="24"/>
      <c r="H603" s="24"/>
      <c r="I603" s="24"/>
      <c r="J603" s="24"/>
      <c r="K603" s="24"/>
    </row>
    <row r="604" spans="6:11">
      <c r="F604" s="24"/>
      <c r="G604" s="24"/>
      <c r="H604" s="24"/>
      <c r="I604" s="24"/>
      <c r="J604" s="24"/>
      <c r="K604" s="24"/>
    </row>
    <row r="605" spans="6:11">
      <c r="F605" s="24"/>
      <c r="G605" s="24"/>
      <c r="H605" s="24"/>
      <c r="I605" s="24"/>
      <c r="J605" s="24"/>
      <c r="K605" s="24"/>
    </row>
    <row r="606" spans="6:11">
      <c r="F606" s="24"/>
      <c r="G606" s="24"/>
      <c r="H606" s="24"/>
      <c r="I606" s="24"/>
      <c r="J606" s="24"/>
      <c r="K606" s="24"/>
    </row>
    <row r="607" spans="6:11">
      <c r="F607" s="24"/>
      <c r="G607" s="24"/>
      <c r="H607" s="24"/>
      <c r="I607" s="24"/>
      <c r="J607" s="24"/>
      <c r="K607" s="24"/>
    </row>
    <row r="608" spans="6:11">
      <c r="F608" s="24"/>
      <c r="G608" s="24"/>
      <c r="H608" s="24"/>
      <c r="I608" s="24"/>
      <c r="J608" s="24"/>
      <c r="K608" s="24"/>
    </row>
    <row r="609" spans="6:11">
      <c r="F609" s="24"/>
      <c r="G609" s="24"/>
      <c r="H609" s="24"/>
      <c r="I609" s="24"/>
      <c r="J609" s="24"/>
      <c r="K609" s="24"/>
    </row>
    <row r="610" spans="6:11">
      <c r="F610" s="24"/>
      <c r="G610" s="24"/>
      <c r="H610" s="24"/>
      <c r="I610" s="24"/>
      <c r="J610" s="24"/>
      <c r="K610" s="24"/>
    </row>
    <row r="611" spans="6:11">
      <c r="F611" s="24"/>
      <c r="G611" s="24"/>
      <c r="H611" s="24"/>
      <c r="I611" s="24"/>
      <c r="J611" s="24"/>
      <c r="K611" s="24"/>
    </row>
    <row r="612" spans="6:11">
      <c r="F612" s="24"/>
      <c r="G612" s="24"/>
      <c r="H612" s="24"/>
      <c r="I612" s="24"/>
      <c r="J612" s="24"/>
      <c r="K612" s="24"/>
    </row>
    <row r="613" spans="6:11">
      <c r="F613" s="24"/>
      <c r="G613" s="24"/>
      <c r="H613" s="24"/>
      <c r="I613" s="24"/>
      <c r="J613" s="24"/>
      <c r="K613" s="24"/>
    </row>
    <row r="614" spans="6:11">
      <c r="F614" s="24"/>
      <c r="G614" s="24"/>
      <c r="H614" s="24"/>
      <c r="I614" s="24"/>
      <c r="J614" s="24"/>
      <c r="K614" s="24"/>
    </row>
    <row r="615" spans="6:11">
      <c r="F615" s="24"/>
      <c r="G615" s="24"/>
      <c r="H615" s="24"/>
      <c r="I615" s="24"/>
      <c r="J615" s="24"/>
      <c r="K615" s="24"/>
    </row>
    <row r="616" spans="6:11">
      <c r="F616" s="24"/>
      <c r="G616" s="24"/>
      <c r="H616" s="24"/>
      <c r="I616" s="24"/>
      <c r="J616" s="24"/>
      <c r="K616" s="24"/>
    </row>
    <row r="617" spans="6:11">
      <c r="F617" s="24"/>
      <c r="G617" s="24"/>
      <c r="H617" s="24"/>
      <c r="I617" s="24"/>
      <c r="J617" s="24"/>
      <c r="K617" s="24"/>
    </row>
    <row r="618" spans="6:11">
      <c r="F618" s="24"/>
      <c r="G618" s="24"/>
      <c r="H618" s="24"/>
      <c r="I618" s="24"/>
      <c r="J618" s="24"/>
      <c r="K618" s="24"/>
    </row>
    <row r="619" spans="6:11">
      <c r="F619" s="24"/>
      <c r="G619" s="24"/>
      <c r="H619" s="24"/>
      <c r="I619" s="24"/>
      <c r="J619" s="24"/>
      <c r="K619" s="24"/>
    </row>
    <row r="620" spans="6:11">
      <c r="F620" s="24"/>
      <c r="G620" s="24"/>
      <c r="H620" s="24"/>
      <c r="I620" s="24"/>
      <c r="J620" s="24"/>
      <c r="K620" s="24"/>
    </row>
    <row r="621" spans="6:11">
      <c r="F621" s="24"/>
      <c r="G621" s="24"/>
      <c r="H621" s="24"/>
      <c r="I621" s="24"/>
      <c r="J621" s="24"/>
      <c r="K621" s="24"/>
    </row>
    <row r="622" spans="6:11">
      <c r="F622" s="24"/>
      <c r="G622" s="24"/>
      <c r="H622" s="24"/>
      <c r="I622" s="24"/>
      <c r="J622" s="24"/>
      <c r="K622" s="24"/>
    </row>
    <row r="623" spans="6:11">
      <c r="F623" s="24"/>
      <c r="G623" s="24"/>
      <c r="H623" s="24"/>
      <c r="I623" s="24"/>
      <c r="J623" s="24"/>
      <c r="K623" s="24"/>
    </row>
    <row r="624" spans="6:11">
      <c r="F624" s="24"/>
      <c r="G624" s="24"/>
      <c r="H624" s="24"/>
      <c r="I624" s="24"/>
      <c r="J624" s="24"/>
      <c r="K624" s="24"/>
    </row>
    <row r="625" spans="6:11">
      <c r="F625" s="24"/>
      <c r="G625" s="24"/>
      <c r="H625" s="24"/>
      <c r="I625" s="24"/>
      <c r="J625" s="24"/>
      <c r="K625" s="24"/>
    </row>
    <row r="626" spans="6:11">
      <c r="F626" s="24"/>
      <c r="G626" s="24"/>
      <c r="H626" s="24"/>
      <c r="I626" s="24"/>
      <c r="J626" s="24"/>
      <c r="K626" s="24"/>
    </row>
    <row r="627" spans="6:11">
      <c r="F627" s="24"/>
      <c r="G627" s="24"/>
      <c r="H627" s="24"/>
      <c r="I627" s="24"/>
      <c r="J627" s="24"/>
      <c r="K627" s="24"/>
    </row>
    <row r="628" spans="6:11">
      <c r="F628" s="24"/>
      <c r="G628" s="24"/>
      <c r="H628" s="24"/>
      <c r="I628" s="24"/>
      <c r="J628" s="24"/>
      <c r="K628" s="24"/>
    </row>
    <row r="629" spans="6:11">
      <c r="F629" s="24"/>
      <c r="G629" s="24"/>
      <c r="H629" s="24"/>
      <c r="I629" s="24"/>
      <c r="J629" s="24"/>
      <c r="K629" s="24"/>
    </row>
    <row r="630" spans="6:11">
      <c r="F630" s="24"/>
      <c r="G630" s="24"/>
      <c r="H630" s="24"/>
      <c r="I630" s="24"/>
      <c r="J630" s="24"/>
      <c r="K630" s="24"/>
    </row>
    <row r="631" spans="6:11">
      <c r="F631" s="24"/>
      <c r="G631" s="24"/>
      <c r="H631" s="24"/>
      <c r="I631" s="24"/>
      <c r="J631" s="24"/>
      <c r="K631" s="24"/>
    </row>
    <row r="632" spans="6:11">
      <c r="F632" s="24"/>
      <c r="G632" s="24"/>
      <c r="H632" s="24"/>
      <c r="I632" s="24"/>
      <c r="J632" s="24"/>
      <c r="K632" s="24"/>
    </row>
    <row r="633" spans="6:11">
      <c r="F633" s="24"/>
      <c r="G633" s="24"/>
      <c r="H633" s="24"/>
      <c r="I633" s="24"/>
      <c r="J633" s="24"/>
      <c r="K633" s="24"/>
    </row>
    <row r="634" spans="6:11">
      <c r="F634" s="24"/>
      <c r="G634" s="24"/>
      <c r="H634" s="24"/>
      <c r="I634" s="24"/>
      <c r="J634" s="24"/>
      <c r="K634" s="24"/>
    </row>
    <row r="635" spans="6:11">
      <c r="F635" s="24"/>
      <c r="G635" s="24"/>
      <c r="H635" s="24"/>
      <c r="I635" s="24"/>
      <c r="J635" s="24"/>
      <c r="K635" s="24"/>
    </row>
    <row r="636" spans="6:11">
      <c r="F636" s="24"/>
      <c r="G636" s="24"/>
      <c r="H636" s="24"/>
      <c r="I636" s="24"/>
      <c r="J636" s="24"/>
      <c r="K636" s="24"/>
    </row>
    <row r="637" spans="6:11">
      <c r="F637" s="24"/>
      <c r="G637" s="24"/>
      <c r="H637" s="24"/>
      <c r="I637" s="24"/>
      <c r="J637" s="24"/>
      <c r="K637" s="24"/>
    </row>
    <row r="638" spans="6:11">
      <c r="F638" s="24"/>
      <c r="G638" s="24"/>
      <c r="H638" s="24"/>
      <c r="I638" s="24"/>
      <c r="J638" s="24"/>
      <c r="K638" s="24"/>
    </row>
    <row r="639" spans="6:11">
      <c r="F639" s="24"/>
      <c r="G639" s="24"/>
      <c r="H639" s="24"/>
      <c r="I639" s="24"/>
      <c r="J639" s="24"/>
      <c r="K639" s="24"/>
    </row>
    <row r="640" spans="6:11">
      <c r="F640" s="24"/>
      <c r="G640" s="24"/>
      <c r="H640" s="24"/>
      <c r="I640" s="24"/>
      <c r="J640" s="24"/>
      <c r="K640" s="24"/>
    </row>
    <row r="641" spans="6:11">
      <c r="F641" s="24"/>
      <c r="G641" s="24"/>
      <c r="H641" s="24"/>
      <c r="I641" s="24"/>
      <c r="J641" s="24"/>
      <c r="K641" s="24"/>
    </row>
    <row r="642" spans="6:11">
      <c r="F642" s="24"/>
      <c r="G642" s="24"/>
      <c r="H642" s="24"/>
      <c r="I642" s="24"/>
      <c r="J642" s="24"/>
      <c r="K642" s="24"/>
    </row>
    <row r="643" spans="6:11">
      <c r="F643" s="24"/>
      <c r="G643" s="24"/>
      <c r="H643" s="24"/>
      <c r="I643" s="24"/>
      <c r="J643" s="24"/>
      <c r="K643" s="24"/>
    </row>
    <row r="644" spans="6:11">
      <c r="F644" s="24"/>
      <c r="G644" s="24"/>
      <c r="H644" s="24"/>
      <c r="I644" s="24"/>
      <c r="J644" s="24"/>
      <c r="K644" s="24"/>
    </row>
    <row r="645" spans="6:11">
      <c r="F645" s="24"/>
      <c r="G645" s="24"/>
      <c r="H645" s="24"/>
      <c r="I645" s="24"/>
      <c r="J645" s="24"/>
      <c r="K645" s="24"/>
    </row>
    <row r="646" spans="6:11">
      <c r="F646" s="24"/>
      <c r="G646" s="24"/>
      <c r="H646" s="24"/>
      <c r="I646" s="24"/>
      <c r="J646" s="24"/>
      <c r="K646" s="24"/>
    </row>
    <row r="647" spans="6:11">
      <c r="F647" s="24"/>
      <c r="G647" s="24"/>
      <c r="H647" s="24"/>
      <c r="I647" s="24"/>
      <c r="J647" s="24"/>
      <c r="K647" s="24"/>
    </row>
    <row r="648" spans="6:11">
      <c r="F648" s="24"/>
      <c r="G648" s="24"/>
      <c r="H648" s="24"/>
      <c r="I648" s="24"/>
      <c r="J648" s="24"/>
      <c r="K648" s="24"/>
    </row>
    <row r="649" spans="6:11">
      <c r="F649" s="24"/>
      <c r="G649" s="24"/>
      <c r="H649" s="24"/>
      <c r="I649" s="24"/>
      <c r="J649" s="24"/>
      <c r="K649" s="24"/>
    </row>
    <row r="650" spans="6:11">
      <c r="F650" s="24"/>
      <c r="G650" s="24"/>
      <c r="H650" s="24"/>
      <c r="I650" s="24"/>
      <c r="J650" s="24"/>
      <c r="K650" s="24"/>
    </row>
    <row r="651" spans="6:11">
      <c r="F651" s="24"/>
      <c r="G651" s="24"/>
      <c r="H651" s="24"/>
      <c r="I651" s="24"/>
      <c r="J651" s="24"/>
      <c r="K651" s="24"/>
    </row>
    <row r="652" spans="6:11">
      <c r="F652" s="24"/>
      <c r="G652" s="24"/>
      <c r="H652" s="24"/>
      <c r="I652" s="24"/>
      <c r="J652" s="24"/>
      <c r="K652" s="24"/>
    </row>
    <row r="653" spans="6:11">
      <c r="F653" s="24"/>
      <c r="G653" s="24"/>
      <c r="H653" s="24"/>
      <c r="I653" s="24"/>
      <c r="J653" s="24"/>
      <c r="K653" s="24"/>
    </row>
    <row r="654" spans="6:11">
      <c r="F654" s="24"/>
      <c r="G654" s="24"/>
      <c r="H654" s="24"/>
      <c r="I654" s="24"/>
      <c r="J654" s="24"/>
      <c r="K654" s="24"/>
    </row>
    <row r="655" spans="6:11">
      <c r="F655" s="24"/>
      <c r="G655" s="24"/>
      <c r="H655" s="24"/>
      <c r="I655" s="24"/>
      <c r="J655" s="24"/>
      <c r="K655" s="24"/>
    </row>
    <row r="656" spans="6:11">
      <c r="F656" s="24"/>
      <c r="G656" s="24"/>
      <c r="H656" s="24"/>
      <c r="I656" s="24"/>
      <c r="J656" s="24"/>
      <c r="K656" s="24"/>
    </row>
    <row r="657" spans="6:11">
      <c r="F657" s="24"/>
      <c r="G657" s="24"/>
      <c r="H657" s="24"/>
      <c r="I657" s="24"/>
      <c r="J657" s="24"/>
      <c r="K657" s="24"/>
    </row>
    <row r="658" spans="6:11">
      <c r="F658" s="24"/>
      <c r="G658" s="24"/>
      <c r="H658" s="24"/>
      <c r="I658" s="24"/>
      <c r="J658" s="24"/>
      <c r="K658" s="24"/>
    </row>
    <row r="659" spans="6:11">
      <c r="F659" s="24"/>
      <c r="G659" s="24"/>
      <c r="H659" s="24"/>
      <c r="I659" s="24"/>
      <c r="J659" s="24"/>
      <c r="K659" s="24"/>
    </row>
    <row r="660" spans="6:11">
      <c r="F660" s="24"/>
      <c r="G660" s="24"/>
      <c r="H660" s="24"/>
      <c r="I660" s="24"/>
      <c r="J660" s="24"/>
      <c r="K660" s="24"/>
    </row>
    <row r="661" spans="6:11">
      <c r="F661" s="24"/>
      <c r="G661" s="24"/>
      <c r="H661" s="24"/>
      <c r="I661" s="24"/>
      <c r="J661" s="24"/>
      <c r="K661" s="24"/>
    </row>
    <row r="662" spans="6:11">
      <c r="F662" s="24"/>
      <c r="G662" s="24"/>
      <c r="H662" s="24"/>
      <c r="I662" s="24"/>
      <c r="J662" s="24"/>
      <c r="K662" s="24"/>
    </row>
    <row r="663" spans="6:11">
      <c r="F663" s="24"/>
      <c r="G663" s="24"/>
      <c r="H663" s="24"/>
      <c r="I663" s="24"/>
      <c r="J663" s="24"/>
      <c r="K663" s="24"/>
    </row>
    <row r="664" spans="6:11">
      <c r="F664" s="24"/>
      <c r="G664" s="24"/>
      <c r="H664" s="24"/>
      <c r="I664" s="24"/>
      <c r="J664" s="24"/>
      <c r="K664" s="24"/>
    </row>
    <row r="665" spans="6:11">
      <c r="F665" s="24"/>
      <c r="G665" s="24"/>
      <c r="H665" s="24"/>
      <c r="I665" s="24"/>
      <c r="J665" s="24"/>
      <c r="K665" s="24"/>
    </row>
    <row r="666" spans="6:11">
      <c r="F666" s="24"/>
      <c r="G666" s="24"/>
      <c r="H666" s="24"/>
      <c r="I666" s="24"/>
      <c r="J666" s="24"/>
      <c r="K666" s="24"/>
    </row>
    <row r="667" spans="6:11">
      <c r="F667" s="24"/>
      <c r="G667" s="24"/>
      <c r="H667" s="24"/>
      <c r="I667" s="24"/>
      <c r="J667" s="24"/>
      <c r="K667" s="24"/>
    </row>
    <row r="668" spans="6:11">
      <c r="F668" s="24"/>
      <c r="G668" s="24"/>
      <c r="H668" s="24"/>
      <c r="I668" s="24"/>
      <c r="J668" s="24"/>
      <c r="K668" s="24"/>
    </row>
    <row r="669" spans="6:11">
      <c r="F669" s="24"/>
      <c r="G669" s="24"/>
      <c r="H669" s="24"/>
      <c r="I669" s="24"/>
      <c r="J669" s="24"/>
      <c r="K669" s="24"/>
    </row>
    <row r="670" spans="6:11">
      <c r="F670" s="24"/>
      <c r="G670" s="24"/>
      <c r="H670" s="24"/>
      <c r="I670" s="24"/>
      <c r="J670" s="24"/>
      <c r="K670" s="24"/>
    </row>
    <row r="671" spans="6:11">
      <c r="F671" s="24"/>
      <c r="G671" s="24"/>
      <c r="H671" s="24"/>
      <c r="I671" s="24"/>
      <c r="J671" s="24"/>
      <c r="K671" s="24"/>
    </row>
    <row r="672" spans="6:11">
      <c r="F672" s="24"/>
      <c r="G672" s="24"/>
      <c r="H672" s="24"/>
      <c r="I672" s="24"/>
      <c r="J672" s="24"/>
      <c r="K672" s="24"/>
    </row>
    <row r="673" spans="6:11">
      <c r="F673" s="24"/>
      <c r="G673" s="24"/>
      <c r="H673" s="24"/>
      <c r="I673" s="24"/>
      <c r="J673" s="24"/>
      <c r="K673" s="24"/>
    </row>
    <row r="674" spans="6:11">
      <c r="F674" s="24"/>
      <c r="G674" s="24"/>
      <c r="H674" s="24"/>
      <c r="I674" s="24"/>
      <c r="J674" s="24"/>
      <c r="K674" s="24"/>
    </row>
    <row r="675" spans="6:11">
      <c r="F675" s="24"/>
      <c r="G675" s="24"/>
      <c r="H675" s="24"/>
      <c r="I675" s="24"/>
      <c r="J675" s="24"/>
      <c r="K675" s="24"/>
    </row>
    <row r="676" spans="6:11">
      <c r="F676" s="24"/>
      <c r="G676" s="24"/>
      <c r="H676" s="24"/>
      <c r="I676" s="24"/>
      <c r="J676" s="24"/>
      <c r="K676" s="24"/>
    </row>
    <row r="677" spans="6:11">
      <c r="F677" s="24"/>
      <c r="G677" s="24"/>
      <c r="H677" s="24"/>
      <c r="I677" s="24"/>
      <c r="J677" s="24"/>
      <c r="K677" s="24"/>
    </row>
    <row r="678" spans="6:11">
      <c r="F678" s="24"/>
      <c r="G678" s="24"/>
      <c r="H678" s="24"/>
      <c r="I678" s="24"/>
      <c r="J678" s="24"/>
      <c r="K678" s="24"/>
    </row>
    <row r="679" spans="6:11">
      <c r="F679" s="24"/>
      <c r="G679" s="24"/>
      <c r="H679" s="24"/>
      <c r="I679" s="24"/>
      <c r="J679" s="24"/>
      <c r="K679" s="24"/>
    </row>
    <row r="680" spans="6:11">
      <c r="F680" s="24"/>
      <c r="G680" s="24"/>
      <c r="H680" s="24"/>
      <c r="I680" s="24"/>
      <c r="J680" s="24"/>
      <c r="K680" s="24"/>
    </row>
    <row r="681" spans="6:11">
      <c r="F681" s="24"/>
      <c r="G681" s="24"/>
      <c r="H681" s="24"/>
      <c r="I681" s="24"/>
      <c r="J681" s="24"/>
      <c r="K681" s="24"/>
    </row>
    <row r="682" spans="6:11">
      <c r="F682" s="24"/>
      <c r="G682" s="24"/>
      <c r="H682" s="24"/>
      <c r="I682" s="24"/>
      <c r="J682" s="24"/>
      <c r="K682" s="24"/>
    </row>
    <row r="683" spans="6:11">
      <c r="F683" s="24"/>
      <c r="G683" s="24"/>
      <c r="H683" s="24"/>
      <c r="I683" s="24"/>
      <c r="J683" s="24"/>
      <c r="K683" s="24"/>
    </row>
    <row r="684" spans="6:11">
      <c r="F684" s="24"/>
      <c r="G684" s="24"/>
      <c r="H684" s="24"/>
      <c r="I684" s="24"/>
      <c r="J684" s="24"/>
      <c r="K684" s="24"/>
    </row>
    <row r="685" spans="6:11">
      <c r="F685" s="24"/>
      <c r="G685" s="24"/>
      <c r="H685" s="24"/>
      <c r="I685" s="24"/>
      <c r="J685" s="24"/>
      <c r="K685" s="24"/>
    </row>
    <row r="686" spans="6:11">
      <c r="F686" s="24"/>
      <c r="G686" s="24"/>
      <c r="H686" s="24"/>
      <c r="I686" s="24"/>
      <c r="J686" s="24"/>
      <c r="K686" s="24"/>
    </row>
    <row r="687" spans="6:11">
      <c r="F687" s="24"/>
      <c r="G687" s="24"/>
      <c r="H687" s="24"/>
      <c r="I687" s="24"/>
      <c r="J687" s="24"/>
      <c r="K687" s="24"/>
    </row>
    <row r="688" spans="6:11">
      <c r="F688" s="24"/>
      <c r="G688" s="24"/>
      <c r="H688" s="24"/>
      <c r="I688" s="24"/>
      <c r="J688" s="24"/>
      <c r="K688" s="24"/>
    </row>
    <row r="689" spans="6:11">
      <c r="F689" s="24"/>
      <c r="G689" s="24"/>
      <c r="H689" s="24"/>
      <c r="I689" s="24"/>
      <c r="J689" s="24"/>
      <c r="K689" s="24"/>
    </row>
    <row r="690" spans="6:11">
      <c r="F690" s="24"/>
      <c r="G690" s="24"/>
      <c r="H690" s="24"/>
      <c r="I690" s="24"/>
      <c r="J690" s="24"/>
      <c r="K690" s="24"/>
    </row>
    <row r="691" spans="6:11">
      <c r="F691" s="24"/>
      <c r="G691" s="24"/>
      <c r="H691" s="24"/>
      <c r="I691" s="24"/>
      <c r="J691" s="24"/>
      <c r="K691" s="24"/>
    </row>
    <row r="692" spans="6:11">
      <c r="F692" s="24"/>
      <c r="G692" s="24"/>
      <c r="H692" s="24"/>
      <c r="I692" s="24"/>
      <c r="J692" s="24"/>
      <c r="K692" s="24"/>
    </row>
    <row r="693" spans="6:11">
      <c r="F693" s="24"/>
      <c r="G693" s="24"/>
      <c r="H693" s="24"/>
      <c r="I693" s="24"/>
      <c r="J693" s="24"/>
      <c r="K693" s="24"/>
    </row>
    <row r="694" spans="6:11">
      <c r="F694" s="24"/>
      <c r="G694" s="24"/>
      <c r="H694" s="24"/>
      <c r="I694" s="24"/>
      <c r="J694" s="24"/>
      <c r="K694" s="24"/>
    </row>
    <row r="695" spans="6:11">
      <c r="F695" s="24"/>
      <c r="G695" s="24"/>
      <c r="H695" s="24"/>
      <c r="I695" s="24"/>
      <c r="J695" s="24"/>
      <c r="K695" s="24"/>
    </row>
    <row r="696" spans="6:11">
      <c r="F696" s="24"/>
      <c r="G696" s="24"/>
      <c r="H696" s="24"/>
      <c r="I696" s="24"/>
      <c r="J696" s="24"/>
      <c r="K696" s="24"/>
    </row>
    <row r="697" spans="6:11">
      <c r="F697" s="24"/>
      <c r="G697" s="24"/>
      <c r="H697" s="24"/>
      <c r="I697" s="24"/>
      <c r="J697" s="24"/>
      <c r="K697" s="24"/>
    </row>
    <row r="698" spans="6:11">
      <c r="F698" s="24"/>
      <c r="G698" s="24"/>
      <c r="H698" s="24"/>
      <c r="I698" s="24"/>
      <c r="J698" s="24"/>
      <c r="K698" s="24"/>
    </row>
    <row r="699" spans="6:11">
      <c r="F699" s="24"/>
      <c r="G699" s="24"/>
      <c r="H699" s="24"/>
      <c r="I699" s="24"/>
      <c r="J699" s="24"/>
      <c r="K699" s="24"/>
    </row>
    <row r="700" spans="6:11">
      <c r="F700" s="24"/>
      <c r="G700" s="24"/>
      <c r="H700" s="24"/>
      <c r="I700" s="24"/>
      <c r="J700" s="24"/>
      <c r="K700" s="24"/>
    </row>
    <row r="701" spans="6:11">
      <c r="F701" s="24"/>
      <c r="G701" s="24"/>
      <c r="H701" s="24"/>
      <c r="I701" s="24"/>
      <c r="J701" s="24"/>
      <c r="K701" s="24"/>
    </row>
    <row r="702" spans="6:11">
      <c r="F702" s="24"/>
      <c r="G702" s="24"/>
      <c r="H702" s="24"/>
      <c r="I702" s="24"/>
      <c r="J702" s="24"/>
      <c r="K702" s="24"/>
    </row>
    <row r="703" spans="6:11">
      <c r="F703" s="24"/>
      <c r="G703" s="24"/>
      <c r="H703" s="24"/>
      <c r="I703" s="24"/>
      <c r="J703" s="24"/>
      <c r="K703" s="24"/>
    </row>
    <row r="704" spans="6:11">
      <c r="F704" s="24"/>
      <c r="G704" s="24"/>
      <c r="H704" s="24"/>
      <c r="I704" s="24"/>
      <c r="J704" s="24"/>
      <c r="K704" s="24"/>
    </row>
    <row r="705" spans="6:11">
      <c r="F705" s="24"/>
      <c r="G705" s="24"/>
      <c r="H705" s="24"/>
      <c r="I705" s="24"/>
      <c r="J705" s="24"/>
      <c r="K705" s="24"/>
    </row>
    <row r="706" spans="6:11">
      <c r="F706" s="24"/>
      <c r="G706" s="24"/>
      <c r="H706" s="24"/>
      <c r="I706" s="24"/>
      <c r="J706" s="24"/>
      <c r="K706" s="24"/>
    </row>
    <row r="707" spans="6:11">
      <c r="F707" s="24"/>
      <c r="G707" s="24"/>
      <c r="H707" s="24"/>
      <c r="I707" s="24"/>
      <c r="J707" s="24"/>
      <c r="K707" s="24"/>
    </row>
    <row r="708" spans="6:11">
      <c r="F708" s="24"/>
      <c r="G708" s="24"/>
      <c r="H708" s="24"/>
      <c r="I708" s="24"/>
      <c r="J708" s="24"/>
      <c r="K708" s="24"/>
    </row>
    <row r="709" spans="6:11">
      <c r="F709" s="24"/>
      <c r="G709" s="24"/>
      <c r="H709" s="24"/>
      <c r="I709" s="24"/>
      <c r="J709" s="24"/>
      <c r="K709" s="24"/>
    </row>
    <row r="710" spans="6:11">
      <c r="F710" s="24"/>
      <c r="G710" s="24"/>
      <c r="H710" s="24"/>
      <c r="I710" s="24"/>
      <c r="J710" s="24"/>
      <c r="K710" s="24"/>
    </row>
    <row r="711" spans="6:11">
      <c r="F711" s="24"/>
      <c r="G711" s="24"/>
      <c r="H711" s="24"/>
      <c r="I711" s="24"/>
      <c r="J711" s="24"/>
      <c r="K711" s="24"/>
    </row>
    <row r="712" spans="6:11">
      <c r="F712" s="24"/>
      <c r="G712" s="24"/>
      <c r="H712" s="24"/>
      <c r="I712" s="24"/>
      <c r="J712" s="24"/>
      <c r="K712" s="24"/>
    </row>
    <row r="713" spans="6:11">
      <c r="F713" s="24"/>
      <c r="G713" s="24"/>
      <c r="H713" s="24"/>
      <c r="I713" s="24"/>
      <c r="J713" s="24"/>
      <c r="K713" s="24"/>
    </row>
    <row r="714" spans="6:11">
      <c r="F714" s="24"/>
      <c r="G714" s="24"/>
      <c r="H714" s="24"/>
      <c r="I714" s="24"/>
      <c r="J714" s="24"/>
      <c r="K714" s="24"/>
    </row>
    <row r="715" spans="6:11">
      <c r="F715" s="24"/>
      <c r="G715" s="24"/>
      <c r="H715" s="24"/>
      <c r="I715" s="24"/>
      <c r="J715" s="24"/>
      <c r="K715" s="24"/>
    </row>
    <row r="716" spans="6:11">
      <c r="F716" s="24"/>
      <c r="G716" s="24"/>
      <c r="H716" s="24"/>
      <c r="I716" s="24"/>
      <c r="J716" s="24"/>
      <c r="K716" s="24"/>
    </row>
    <row r="717" spans="6:11">
      <c r="F717" s="24"/>
      <c r="G717" s="24"/>
      <c r="H717" s="24"/>
      <c r="I717" s="24"/>
      <c r="J717" s="24"/>
      <c r="K717" s="24"/>
    </row>
    <row r="718" spans="6:11">
      <c r="F718" s="24"/>
      <c r="G718" s="24"/>
      <c r="H718" s="24"/>
      <c r="I718" s="24"/>
      <c r="J718" s="24"/>
      <c r="K718" s="24"/>
    </row>
    <row r="719" spans="6:11">
      <c r="F719" s="24"/>
      <c r="G719" s="24"/>
      <c r="H719" s="24"/>
      <c r="I719" s="24"/>
      <c r="J719" s="24"/>
      <c r="K719" s="24"/>
    </row>
    <row r="720" spans="6:11">
      <c r="F720" s="24"/>
      <c r="G720" s="24"/>
      <c r="H720" s="24"/>
      <c r="I720" s="24"/>
      <c r="J720" s="24"/>
      <c r="K720" s="24"/>
    </row>
    <row r="721" spans="6:11">
      <c r="F721" s="24"/>
      <c r="G721" s="24"/>
      <c r="H721" s="24"/>
      <c r="I721" s="24"/>
      <c r="J721" s="24"/>
      <c r="K721" s="24"/>
    </row>
    <row r="722" spans="6:11">
      <c r="F722" s="24"/>
      <c r="G722" s="24"/>
      <c r="H722" s="24"/>
      <c r="I722" s="24"/>
      <c r="J722" s="24"/>
      <c r="K722" s="24"/>
    </row>
    <row r="723" spans="6:11">
      <c r="F723" s="24"/>
      <c r="G723" s="24"/>
      <c r="H723" s="24"/>
      <c r="I723" s="24"/>
      <c r="J723" s="24"/>
      <c r="K723" s="24"/>
    </row>
    <row r="724" spans="6:11">
      <c r="F724" s="24"/>
      <c r="G724" s="24"/>
      <c r="H724" s="24"/>
      <c r="I724" s="24"/>
      <c r="J724" s="24"/>
      <c r="K724" s="24"/>
    </row>
    <row r="725" spans="6:11">
      <c r="F725" s="24"/>
      <c r="G725" s="24"/>
      <c r="H725" s="24"/>
      <c r="I725" s="24"/>
      <c r="J725" s="24"/>
      <c r="K725" s="24"/>
    </row>
    <row r="726" spans="6:11">
      <c r="F726" s="24"/>
      <c r="G726" s="24"/>
      <c r="H726" s="24"/>
      <c r="I726" s="24"/>
      <c r="J726" s="24"/>
      <c r="K726" s="24"/>
    </row>
    <row r="727" spans="6:11">
      <c r="F727" s="24"/>
      <c r="G727" s="24"/>
      <c r="H727" s="24"/>
      <c r="I727" s="24"/>
      <c r="J727" s="24"/>
      <c r="K727" s="24"/>
    </row>
    <row r="728" spans="6:11">
      <c r="F728" s="24"/>
      <c r="G728" s="24"/>
      <c r="H728" s="24"/>
      <c r="I728" s="24"/>
      <c r="J728" s="24"/>
      <c r="K728" s="24"/>
    </row>
    <row r="729" spans="6:11">
      <c r="F729" s="24"/>
      <c r="G729" s="24"/>
      <c r="H729" s="24"/>
      <c r="I729" s="24"/>
      <c r="J729" s="24"/>
      <c r="K729" s="24"/>
    </row>
    <row r="730" spans="6:11">
      <c r="F730" s="24"/>
      <c r="G730" s="24"/>
      <c r="H730" s="24"/>
      <c r="I730" s="24"/>
      <c r="J730" s="24"/>
      <c r="K730" s="24"/>
    </row>
    <row r="731" spans="6:11">
      <c r="F731" s="24"/>
      <c r="G731" s="24"/>
      <c r="H731" s="24"/>
      <c r="I731" s="24"/>
      <c r="J731" s="24"/>
      <c r="K731" s="24"/>
    </row>
    <row r="732" spans="6:11">
      <c r="F732" s="24"/>
      <c r="G732" s="24"/>
      <c r="H732" s="24"/>
      <c r="I732" s="24"/>
      <c r="J732" s="24"/>
      <c r="K732" s="24"/>
    </row>
    <row r="733" spans="6:11">
      <c r="F733" s="24"/>
      <c r="G733" s="24"/>
      <c r="H733" s="24"/>
      <c r="I733" s="24"/>
      <c r="J733" s="24"/>
      <c r="K733" s="24"/>
    </row>
    <row r="734" spans="6:11">
      <c r="F734" s="24"/>
      <c r="G734" s="24"/>
      <c r="H734" s="24"/>
      <c r="I734" s="24"/>
      <c r="J734" s="24"/>
      <c r="K734" s="24"/>
    </row>
    <row r="735" spans="6:11">
      <c r="F735" s="24"/>
      <c r="G735" s="24"/>
      <c r="H735" s="24"/>
      <c r="I735" s="24"/>
      <c r="J735" s="24"/>
      <c r="K735" s="24"/>
    </row>
    <row r="736" spans="6:11">
      <c r="F736" s="24"/>
      <c r="G736" s="24"/>
      <c r="H736" s="24"/>
      <c r="I736" s="24"/>
      <c r="J736" s="24"/>
      <c r="K736" s="24"/>
    </row>
    <row r="737" spans="6:11">
      <c r="F737" s="24"/>
      <c r="G737" s="24"/>
      <c r="H737" s="24"/>
      <c r="I737" s="24"/>
      <c r="J737" s="24"/>
      <c r="K737" s="24"/>
    </row>
    <row r="738" spans="6:11">
      <c r="F738" s="24"/>
      <c r="G738" s="24"/>
      <c r="H738" s="24"/>
      <c r="I738" s="24"/>
      <c r="J738" s="24"/>
      <c r="K738" s="24"/>
    </row>
    <row r="739" spans="6:11">
      <c r="F739" s="24"/>
      <c r="G739" s="24"/>
      <c r="H739" s="24"/>
      <c r="I739" s="24"/>
      <c r="J739" s="24"/>
      <c r="K739" s="24"/>
    </row>
    <row r="740" spans="6:11">
      <c r="F740" s="24"/>
      <c r="G740" s="24"/>
      <c r="H740" s="24"/>
      <c r="I740" s="24"/>
      <c r="J740" s="24"/>
      <c r="K740" s="24"/>
    </row>
    <row r="741" spans="6:11">
      <c r="F741" s="24"/>
      <c r="G741" s="24"/>
      <c r="H741" s="24"/>
      <c r="I741" s="24"/>
      <c r="J741" s="24"/>
      <c r="K741" s="24"/>
    </row>
    <row r="742" spans="6:11">
      <c r="F742" s="24"/>
      <c r="G742" s="24"/>
      <c r="H742" s="24"/>
      <c r="I742" s="24"/>
      <c r="J742" s="24"/>
      <c r="K742" s="24"/>
    </row>
    <row r="743" spans="6:11">
      <c r="F743" s="24"/>
      <c r="G743" s="24"/>
      <c r="H743" s="24"/>
      <c r="I743" s="24"/>
      <c r="J743" s="24"/>
      <c r="K743" s="24"/>
    </row>
    <row r="744" spans="6:11">
      <c r="F744" s="24"/>
      <c r="G744" s="24"/>
      <c r="H744" s="24"/>
      <c r="I744" s="24"/>
      <c r="J744" s="24"/>
      <c r="K744" s="24"/>
    </row>
    <row r="745" spans="6:11">
      <c r="F745" s="24"/>
      <c r="G745" s="24"/>
      <c r="H745" s="24"/>
      <c r="I745" s="24"/>
      <c r="J745" s="24"/>
      <c r="K745" s="24"/>
    </row>
    <row r="746" spans="6:11">
      <c r="F746" s="24"/>
      <c r="G746" s="24"/>
      <c r="H746" s="24"/>
      <c r="I746" s="24"/>
      <c r="J746" s="24"/>
      <c r="K746" s="24"/>
    </row>
    <row r="747" spans="6:11">
      <c r="F747" s="24"/>
      <c r="G747" s="24"/>
      <c r="H747" s="24"/>
      <c r="I747" s="24"/>
      <c r="J747" s="24"/>
      <c r="K747" s="24"/>
    </row>
    <row r="748" spans="6:11">
      <c r="F748" s="24"/>
      <c r="G748" s="24"/>
      <c r="H748" s="24"/>
      <c r="I748" s="24"/>
      <c r="J748" s="24"/>
      <c r="K748" s="24"/>
    </row>
    <row r="749" spans="6:11">
      <c r="F749" s="24"/>
      <c r="G749" s="24"/>
      <c r="H749" s="24"/>
      <c r="I749" s="24"/>
      <c r="J749" s="24"/>
      <c r="K749" s="24"/>
    </row>
    <row r="750" spans="6:11">
      <c r="F750" s="24"/>
      <c r="G750" s="24"/>
      <c r="H750" s="24"/>
      <c r="I750" s="24"/>
      <c r="J750" s="24"/>
      <c r="K750" s="24"/>
    </row>
    <row r="751" spans="6:11">
      <c r="F751" s="24"/>
      <c r="G751" s="24"/>
      <c r="H751" s="24"/>
      <c r="I751" s="24"/>
      <c r="J751" s="24"/>
      <c r="K751" s="24"/>
    </row>
    <row r="752" spans="6:11">
      <c r="F752" s="24"/>
      <c r="G752" s="24"/>
      <c r="H752" s="24"/>
      <c r="I752" s="24"/>
      <c r="J752" s="24"/>
      <c r="K752" s="24"/>
    </row>
    <row r="753" spans="6:11">
      <c r="F753" s="24"/>
      <c r="G753" s="24"/>
      <c r="H753" s="24"/>
      <c r="I753" s="24"/>
      <c r="J753" s="24"/>
      <c r="K753" s="24"/>
    </row>
    <row r="754" spans="6:11">
      <c r="F754" s="24"/>
      <c r="G754" s="24"/>
      <c r="H754" s="24"/>
      <c r="I754" s="24"/>
      <c r="J754" s="24"/>
      <c r="K754" s="24"/>
    </row>
    <row r="755" spans="6:11">
      <c r="F755" s="24"/>
      <c r="G755" s="24"/>
      <c r="H755" s="24"/>
      <c r="I755" s="24"/>
      <c r="J755" s="24"/>
      <c r="K755" s="24"/>
    </row>
    <row r="756" spans="6:11">
      <c r="F756" s="24"/>
      <c r="G756" s="24"/>
      <c r="H756" s="24"/>
      <c r="I756" s="24"/>
      <c r="J756" s="24"/>
      <c r="K756" s="24"/>
    </row>
    <row r="757" spans="6:11">
      <c r="F757" s="24"/>
      <c r="G757" s="24"/>
      <c r="H757" s="24"/>
      <c r="I757" s="24"/>
      <c r="J757" s="24"/>
      <c r="K757" s="24"/>
    </row>
    <row r="758" spans="6:11">
      <c r="F758" s="24"/>
      <c r="G758" s="24"/>
      <c r="H758" s="24"/>
      <c r="I758" s="24"/>
      <c r="J758" s="24"/>
      <c r="K758" s="24"/>
    </row>
    <row r="759" spans="6:11">
      <c r="F759" s="24"/>
      <c r="G759" s="24"/>
      <c r="H759" s="24"/>
      <c r="I759" s="24"/>
      <c r="J759" s="24"/>
      <c r="K759" s="24"/>
    </row>
    <row r="760" spans="6:11">
      <c r="F760" s="24"/>
      <c r="G760" s="24"/>
      <c r="H760" s="24"/>
      <c r="I760" s="24"/>
      <c r="J760" s="24"/>
      <c r="K760" s="24"/>
    </row>
    <row r="761" spans="6:11">
      <c r="F761" s="24"/>
      <c r="G761" s="24"/>
      <c r="H761" s="24"/>
      <c r="I761" s="24"/>
      <c r="J761" s="24"/>
      <c r="K761" s="24"/>
    </row>
    <row r="762" spans="6:11">
      <c r="F762" s="24"/>
      <c r="G762" s="24"/>
      <c r="H762" s="24"/>
      <c r="I762" s="24"/>
      <c r="J762" s="24"/>
      <c r="K762" s="24"/>
    </row>
    <row r="763" spans="6:11">
      <c r="F763" s="24"/>
      <c r="G763" s="24"/>
      <c r="H763" s="24"/>
      <c r="I763" s="24"/>
      <c r="J763" s="24"/>
      <c r="K763" s="24"/>
    </row>
    <row r="764" spans="6:11">
      <c r="F764" s="24"/>
      <c r="G764" s="24"/>
      <c r="H764" s="24"/>
      <c r="I764" s="24"/>
      <c r="J764" s="24"/>
      <c r="K764" s="24"/>
    </row>
    <row r="765" spans="6:11">
      <c r="F765" s="24"/>
      <c r="G765" s="24"/>
      <c r="H765" s="24"/>
      <c r="I765" s="24"/>
      <c r="J765" s="24"/>
      <c r="K765" s="24"/>
    </row>
    <row r="766" spans="6:11">
      <c r="F766" s="24"/>
      <c r="G766" s="24"/>
      <c r="H766" s="24"/>
      <c r="I766" s="24"/>
      <c r="J766" s="24"/>
      <c r="K766" s="24"/>
    </row>
    <row r="767" spans="6:11">
      <c r="F767" s="24"/>
      <c r="G767" s="24"/>
      <c r="H767" s="24"/>
      <c r="I767" s="24"/>
      <c r="J767" s="24"/>
      <c r="K767" s="24"/>
    </row>
    <row r="768" spans="6:11">
      <c r="F768" s="24"/>
      <c r="G768" s="24"/>
      <c r="H768" s="24"/>
      <c r="I768" s="24"/>
      <c r="J768" s="24"/>
      <c r="K768" s="24"/>
    </row>
    <row r="769" spans="6:11">
      <c r="F769" s="24"/>
      <c r="G769" s="24"/>
      <c r="H769" s="24"/>
      <c r="I769" s="24"/>
      <c r="J769" s="24"/>
      <c r="K769" s="24"/>
    </row>
    <row r="770" spans="6:11">
      <c r="F770" s="24"/>
      <c r="G770" s="24"/>
      <c r="H770" s="24"/>
      <c r="I770" s="24"/>
      <c r="J770" s="24"/>
      <c r="K770" s="24"/>
    </row>
    <row r="771" spans="6:11">
      <c r="F771" s="24"/>
      <c r="G771" s="24"/>
      <c r="H771" s="24"/>
      <c r="I771" s="24"/>
      <c r="J771" s="24"/>
      <c r="K771" s="24"/>
    </row>
    <row r="772" spans="6:11">
      <c r="F772" s="24"/>
      <c r="G772" s="24"/>
      <c r="H772" s="24"/>
      <c r="I772" s="24"/>
      <c r="J772" s="24"/>
      <c r="K772" s="24"/>
    </row>
    <row r="773" spans="6:11">
      <c r="F773" s="24"/>
      <c r="G773" s="24"/>
      <c r="H773" s="24"/>
      <c r="I773" s="24"/>
      <c r="J773" s="24"/>
      <c r="K773" s="24"/>
    </row>
    <row r="774" spans="6:11">
      <c r="F774" s="24"/>
      <c r="G774" s="24"/>
      <c r="H774" s="24"/>
      <c r="I774" s="24"/>
      <c r="J774" s="24"/>
      <c r="K774" s="24"/>
    </row>
    <row r="775" spans="6:11">
      <c r="F775" s="24"/>
      <c r="G775" s="24"/>
      <c r="H775" s="24"/>
      <c r="I775" s="24"/>
      <c r="J775" s="24"/>
      <c r="K775" s="24"/>
    </row>
    <row r="776" spans="6:11">
      <c r="F776" s="24"/>
      <c r="G776" s="24"/>
      <c r="H776" s="24"/>
      <c r="I776" s="24"/>
      <c r="J776" s="24"/>
      <c r="K776" s="24"/>
    </row>
    <row r="777" spans="6:11">
      <c r="F777" s="24"/>
      <c r="G777" s="24"/>
      <c r="H777" s="24"/>
      <c r="I777" s="24"/>
      <c r="J777" s="24"/>
      <c r="K777" s="24"/>
    </row>
    <row r="778" spans="6:11">
      <c r="F778" s="24"/>
      <c r="G778" s="24"/>
      <c r="H778" s="24"/>
      <c r="I778" s="24"/>
      <c r="J778" s="24"/>
      <c r="K778" s="24"/>
    </row>
    <row r="779" spans="6:11">
      <c r="F779" s="24"/>
      <c r="G779" s="24"/>
      <c r="H779" s="24"/>
      <c r="I779" s="24"/>
      <c r="J779" s="24"/>
      <c r="K779" s="24"/>
    </row>
    <row r="780" spans="6:11">
      <c r="F780" s="24"/>
      <c r="G780" s="24"/>
      <c r="H780" s="24"/>
      <c r="I780" s="24"/>
      <c r="J780" s="24"/>
      <c r="K780" s="24"/>
    </row>
    <row r="781" spans="6:11">
      <c r="F781" s="24"/>
      <c r="G781" s="24"/>
      <c r="H781" s="24"/>
      <c r="I781" s="24"/>
      <c r="J781" s="24"/>
      <c r="K781" s="24"/>
    </row>
    <row r="782" spans="6:11">
      <c r="F782" s="24"/>
      <c r="G782" s="24"/>
      <c r="H782" s="24"/>
      <c r="I782" s="24"/>
      <c r="J782" s="24"/>
      <c r="K782" s="24"/>
    </row>
    <row r="783" spans="6:11">
      <c r="F783" s="24"/>
      <c r="G783" s="24"/>
      <c r="H783" s="24"/>
      <c r="I783" s="24"/>
      <c r="J783" s="24"/>
      <c r="K783" s="24"/>
    </row>
    <row r="784" spans="6:11">
      <c r="F784" s="24"/>
      <c r="G784" s="24"/>
      <c r="H784" s="24"/>
      <c r="I784" s="24"/>
      <c r="J784" s="24"/>
      <c r="K784" s="24"/>
    </row>
    <row r="785" spans="6:11">
      <c r="F785" s="24"/>
      <c r="G785" s="24"/>
      <c r="H785" s="24"/>
      <c r="I785" s="24"/>
      <c r="J785" s="24"/>
      <c r="K785" s="24"/>
    </row>
    <row r="786" spans="6:11">
      <c r="F786" s="24"/>
      <c r="G786" s="24"/>
      <c r="H786" s="24"/>
      <c r="I786" s="24"/>
      <c r="J786" s="24"/>
      <c r="K786" s="24"/>
    </row>
    <row r="787" spans="6:11">
      <c r="F787" s="24"/>
      <c r="G787" s="24"/>
      <c r="H787" s="24"/>
      <c r="I787" s="24"/>
      <c r="J787" s="24"/>
      <c r="K787" s="24"/>
    </row>
    <row r="788" spans="6:11">
      <c r="F788" s="24"/>
      <c r="G788" s="24"/>
      <c r="H788" s="24"/>
      <c r="I788" s="24"/>
      <c r="J788" s="24"/>
      <c r="K788" s="24"/>
    </row>
    <row r="789" spans="6:11">
      <c r="F789" s="24"/>
      <c r="G789" s="24"/>
      <c r="H789" s="24"/>
      <c r="I789" s="24"/>
      <c r="J789" s="24"/>
      <c r="K789" s="24"/>
    </row>
    <row r="790" spans="6:11">
      <c r="F790" s="24"/>
      <c r="G790" s="24"/>
      <c r="H790" s="24"/>
      <c r="I790" s="24"/>
      <c r="J790" s="24"/>
      <c r="K790" s="24"/>
    </row>
    <row r="791" spans="6:11">
      <c r="F791" s="24"/>
      <c r="G791" s="24"/>
      <c r="H791" s="24"/>
      <c r="I791" s="24"/>
      <c r="J791" s="24"/>
      <c r="K791" s="24"/>
    </row>
    <row r="792" spans="6:11">
      <c r="F792" s="24"/>
      <c r="G792" s="24"/>
      <c r="H792" s="24"/>
      <c r="I792" s="24"/>
      <c r="J792" s="24"/>
      <c r="K792" s="24"/>
    </row>
    <row r="793" spans="6:11">
      <c r="F793" s="24"/>
      <c r="G793" s="24"/>
      <c r="H793" s="24"/>
      <c r="I793" s="24"/>
      <c r="J793" s="24"/>
      <c r="K793" s="24"/>
    </row>
    <row r="794" spans="6:11">
      <c r="F794" s="24"/>
      <c r="G794" s="24"/>
      <c r="H794" s="24"/>
      <c r="I794" s="24"/>
      <c r="J794" s="24"/>
      <c r="K794" s="24"/>
    </row>
    <row r="795" spans="6:11">
      <c r="F795" s="24"/>
      <c r="G795" s="24"/>
      <c r="H795" s="24"/>
      <c r="I795" s="24"/>
      <c r="J795" s="24"/>
      <c r="K795" s="24"/>
    </row>
    <row r="796" spans="6:11">
      <c r="F796" s="24"/>
      <c r="G796" s="24"/>
      <c r="H796" s="24"/>
      <c r="I796" s="24"/>
      <c r="J796" s="24"/>
      <c r="K796" s="24"/>
    </row>
    <row r="797" spans="6:11">
      <c r="F797" s="24"/>
      <c r="G797" s="24"/>
      <c r="H797" s="24"/>
      <c r="I797" s="24"/>
      <c r="J797" s="24"/>
      <c r="K797" s="24"/>
    </row>
    <row r="798" spans="6:11">
      <c r="F798" s="24"/>
      <c r="G798" s="24"/>
      <c r="H798" s="24"/>
      <c r="I798" s="24"/>
      <c r="J798" s="24"/>
      <c r="K798" s="24"/>
    </row>
    <row r="799" spans="6:11">
      <c r="F799" s="24"/>
      <c r="G799" s="24"/>
      <c r="H799" s="24"/>
      <c r="I799" s="24"/>
      <c r="J799" s="24"/>
      <c r="K799" s="24"/>
    </row>
    <row r="800" spans="6:11">
      <c r="F800" s="24"/>
      <c r="G800" s="24"/>
      <c r="H800" s="24"/>
      <c r="I800" s="24"/>
      <c r="J800" s="24"/>
      <c r="K800" s="24"/>
    </row>
    <row r="801" spans="6:11">
      <c r="F801" s="24"/>
      <c r="G801" s="24"/>
      <c r="H801" s="24"/>
      <c r="I801" s="24"/>
      <c r="J801" s="24"/>
      <c r="K801" s="24"/>
    </row>
    <row r="802" spans="6:11">
      <c r="F802" s="24"/>
      <c r="G802" s="24"/>
      <c r="H802" s="24"/>
      <c r="I802" s="24"/>
      <c r="J802" s="24"/>
      <c r="K802" s="24"/>
    </row>
    <row r="803" spans="6:11">
      <c r="F803" s="24"/>
      <c r="G803" s="24"/>
      <c r="H803" s="24"/>
      <c r="I803" s="24"/>
      <c r="J803" s="24"/>
      <c r="K803" s="24"/>
    </row>
    <row r="804" spans="6:11">
      <c r="F804" s="24"/>
      <c r="G804" s="24"/>
      <c r="H804" s="24"/>
      <c r="I804" s="24"/>
      <c r="J804" s="24"/>
      <c r="K804" s="24"/>
    </row>
    <row r="805" spans="6:11">
      <c r="F805" s="24"/>
      <c r="G805" s="24"/>
      <c r="H805" s="24"/>
      <c r="I805" s="24"/>
      <c r="J805" s="24"/>
      <c r="K805" s="24"/>
    </row>
    <row r="806" spans="6:11">
      <c r="F806" s="24"/>
      <c r="G806" s="24"/>
      <c r="H806" s="24"/>
      <c r="I806" s="24"/>
      <c r="J806" s="24"/>
      <c r="K806" s="24"/>
    </row>
    <row r="807" spans="6:11">
      <c r="F807" s="24"/>
      <c r="G807" s="24"/>
      <c r="H807" s="24"/>
      <c r="I807" s="24"/>
      <c r="J807" s="24"/>
      <c r="K807" s="24"/>
    </row>
    <row r="808" spans="6:11">
      <c r="F808" s="24"/>
      <c r="G808" s="24"/>
      <c r="H808" s="24"/>
      <c r="I808" s="24"/>
      <c r="J808" s="24"/>
      <c r="K808" s="24"/>
    </row>
    <row r="809" spans="6:11">
      <c r="F809" s="24"/>
      <c r="G809" s="24"/>
      <c r="H809" s="24"/>
      <c r="I809" s="24"/>
      <c r="J809" s="24"/>
      <c r="K809" s="24"/>
    </row>
    <row r="810" spans="6:11">
      <c r="F810" s="24"/>
      <c r="G810" s="24"/>
      <c r="H810" s="24"/>
      <c r="I810" s="24"/>
      <c r="J810" s="24"/>
      <c r="K810" s="24"/>
    </row>
    <row r="811" spans="6:11">
      <c r="F811" s="24"/>
      <c r="G811" s="24"/>
      <c r="H811" s="24"/>
      <c r="I811" s="24"/>
      <c r="J811" s="24"/>
      <c r="K811" s="24"/>
    </row>
    <row r="812" spans="6:11">
      <c r="F812" s="24"/>
      <c r="G812" s="24"/>
      <c r="H812" s="24"/>
      <c r="I812" s="24"/>
      <c r="J812" s="24"/>
      <c r="K812" s="24"/>
    </row>
    <row r="813" spans="6:11">
      <c r="F813" s="24"/>
      <c r="G813" s="24"/>
      <c r="H813" s="24"/>
      <c r="I813" s="24"/>
      <c r="J813" s="24"/>
      <c r="K813" s="24"/>
    </row>
    <row r="814" spans="6:11">
      <c r="F814" s="24"/>
      <c r="G814" s="24"/>
      <c r="H814" s="24"/>
      <c r="I814" s="24"/>
      <c r="J814" s="24"/>
      <c r="K814" s="24"/>
    </row>
    <row r="815" spans="6:11">
      <c r="F815" s="24"/>
      <c r="G815" s="24"/>
      <c r="H815" s="24"/>
      <c r="I815" s="24"/>
      <c r="J815" s="24"/>
      <c r="K815" s="24"/>
    </row>
    <row r="816" spans="6:11">
      <c r="F816" s="24"/>
      <c r="G816" s="24"/>
      <c r="H816" s="24"/>
      <c r="I816" s="24"/>
      <c r="J816" s="24"/>
      <c r="K816" s="24"/>
    </row>
    <row r="817" spans="6:11">
      <c r="F817" s="24"/>
      <c r="G817" s="24"/>
      <c r="H817" s="24"/>
      <c r="I817" s="24"/>
      <c r="J817" s="24"/>
      <c r="K817" s="24"/>
    </row>
    <row r="818" spans="6:11">
      <c r="F818" s="24"/>
      <c r="G818" s="24"/>
      <c r="H818" s="24"/>
      <c r="I818" s="24"/>
      <c r="J818" s="24"/>
      <c r="K818" s="24"/>
    </row>
    <row r="819" spans="6:11">
      <c r="F819" s="24"/>
      <c r="G819" s="24"/>
      <c r="H819" s="24"/>
      <c r="I819" s="24"/>
      <c r="J819" s="24"/>
      <c r="K819" s="24"/>
    </row>
    <row r="820" spans="6:11">
      <c r="F820" s="24"/>
      <c r="G820" s="24"/>
      <c r="H820" s="24"/>
      <c r="I820" s="24"/>
      <c r="J820" s="24"/>
      <c r="K820" s="24"/>
    </row>
    <row r="821" spans="6:11">
      <c r="F821" s="24"/>
      <c r="G821" s="24"/>
      <c r="H821" s="24"/>
      <c r="I821" s="24"/>
      <c r="J821" s="24"/>
      <c r="K821" s="24"/>
    </row>
    <row r="822" spans="6:11">
      <c r="F822" s="24"/>
      <c r="G822" s="24"/>
      <c r="H822" s="24"/>
      <c r="I822" s="24"/>
      <c r="J822" s="24"/>
      <c r="K822" s="24"/>
    </row>
    <row r="823" spans="6:11">
      <c r="F823" s="24"/>
      <c r="G823" s="24"/>
      <c r="H823" s="24"/>
      <c r="I823" s="24"/>
      <c r="J823" s="24"/>
      <c r="K823" s="24"/>
    </row>
    <row r="824" spans="6:11">
      <c r="F824" s="24"/>
      <c r="G824" s="24"/>
      <c r="H824" s="24"/>
      <c r="I824" s="24"/>
      <c r="J824" s="24"/>
      <c r="K824" s="24"/>
    </row>
    <row r="825" spans="6:11">
      <c r="F825" s="24"/>
      <c r="G825" s="24"/>
      <c r="H825" s="24"/>
      <c r="I825" s="24"/>
      <c r="J825" s="24"/>
      <c r="K825" s="24"/>
    </row>
    <row r="826" spans="6:11">
      <c r="F826" s="24"/>
      <c r="G826" s="24"/>
      <c r="H826" s="24"/>
      <c r="I826" s="24"/>
      <c r="J826" s="24"/>
      <c r="K826" s="24"/>
    </row>
    <row r="827" spans="6:11">
      <c r="F827" s="24"/>
      <c r="G827" s="24"/>
      <c r="H827" s="24"/>
      <c r="I827" s="24"/>
      <c r="J827" s="24"/>
      <c r="K827" s="24"/>
    </row>
    <row r="828" spans="6:11">
      <c r="F828" s="24"/>
      <c r="G828" s="24"/>
      <c r="H828" s="24"/>
      <c r="I828" s="24"/>
      <c r="J828" s="24"/>
      <c r="K828" s="24"/>
    </row>
    <row r="829" spans="6:11">
      <c r="F829" s="24"/>
      <c r="G829" s="24"/>
      <c r="H829" s="24"/>
      <c r="I829" s="24"/>
      <c r="J829" s="24"/>
      <c r="K829" s="24"/>
    </row>
    <row r="830" spans="6:11">
      <c r="F830" s="24"/>
      <c r="G830" s="24"/>
      <c r="H830" s="24"/>
      <c r="I830" s="24"/>
      <c r="J830" s="24"/>
      <c r="K830" s="24"/>
    </row>
    <row r="831" spans="6:11">
      <c r="F831" s="24"/>
      <c r="G831" s="24"/>
      <c r="H831" s="24"/>
      <c r="I831" s="24"/>
      <c r="J831" s="24"/>
      <c r="K831" s="24"/>
    </row>
    <row r="832" spans="6:11">
      <c r="F832" s="24"/>
      <c r="G832" s="24"/>
      <c r="H832" s="24"/>
      <c r="I832" s="24"/>
      <c r="J832" s="24"/>
      <c r="K832" s="24"/>
    </row>
    <row r="833" spans="6:11">
      <c r="F833" s="24"/>
      <c r="G833" s="24"/>
      <c r="H833" s="24"/>
      <c r="I833" s="24"/>
      <c r="J833" s="24"/>
      <c r="K833" s="24"/>
    </row>
    <row r="834" spans="6:11">
      <c r="F834" s="24"/>
      <c r="G834" s="24"/>
      <c r="H834" s="24"/>
      <c r="I834" s="24"/>
      <c r="J834" s="24"/>
      <c r="K834" s="24"/>
    </row>
    <row r="835" spans="6:11">
      <c r="F835" s="24"/>
      <c r="G835" s="24"/>
      <c r="H835" s="24"/>
      <c r="I835" s="24"/>
      <c r="J835" s="24"/>
      <c r="K835" s="24"/>
    </row>
    <row r="836" spans="6:11">
      <c r="F836" s="24"/>
      <c r="G836" s="24"/>
      <c r="H836" s="24"/>
      <c r="I836" s="24"/>
      <c r="J836" s="24"/>
      <c r="K836" s="24"/>
    </row>
    <row r="837" spans="6:11">
      <c r="F837" s="24"/>
      <c r="G837" s="24"/>
      <c r="H837" s="24"/>
      <c r="I837" s="24"/>
      <c r="J837" s="24"/>
      <c r="K837" s="24"/>
    </row>
    <row r="838" spans="6:11">
      <c r="F838" s="24"/>
      <c r="G838" s="24"/>
      <c r="H838" s="24"/>
      <c r="I838" s="24"/>
      <c r="J838" s="24"/>
      <c r="K838" s="24"/>
    </row>
    <row r="839" spans="6:11">
      <c r="F839" s="24"/>
      <c r="G839" s="24"/>
      <c r="H839" s="24"/>
      <c r="I839" s="24"/>
      <c r="J839" s="24"/>
      <c r="K839" s="24"/>
    </row>
    <row r="840" spans="6:11">
      <c r="F840" s="24"/>
      <c r="G840" s="24"/>
      <c r="H840" s="24"/>
      <c r="I840" s="24"/>
      <c r="J840" s="24"/>
      <c r="K840" s="24"/>
    </row>
    <row r="841" spans="6:11">
      <c r="F841" s="24"/>
      <c r="G841" s="24"/>
      <c r="H841" s="24"/>
      <c r="I841" s="24"/>
      <c r="J841" s="24"/>
      <c r="K841" s="24"/>
    </row>
    <row r="842" spans="6:11">
      <c r="F842" s="24"/>
      <c r="G842" s="24"/>
      <c r="H842" s="24"/>
      <c r="I842" s="24"/>
      <c r="J842" s="24"/>
      <c r="K842" s="24"/>
    </row>
    <row r="843" spans="6:11">
      <c r="F843" s="24"/>
      <c r="G843" s="24"/>
      <c r="H843" s="24"/>
      <c r="I843" s="24"/>
      <c r="J843" s="24"/>
      <c r="K843" s="24"/>
    </row>
    <row r="844" spans="6:11">
      <c r="F844" s="24"/>
      <c r="G844" s="24"/>
      <c r="H844" s="24"/>
      <c r="I844" s="24"/>
      <c r="J844" s="24"/>
      <c r="K844" s="24"/>
    </row>
    <row r="845" spans="6:11">
      <c r="F845" s="24"/>
      <c r="G845" s="24"/>
      <c r="H845" s="24"/>
      <c r="I845" s="24"/>
      <c r="J845" s="24"/>
      <c r="K845" s="24"/>
    </row>
    <row r="846" spans="6:11">
      <c r="F846" s="24"/>
      <c r="G846" s="24"/>
      <c r="H846" s="24"/>
      <c r="I846" s="24"/>
      <c r="J846" s="24"/>
      <c r="K846" s="24"/>
    </row>
    <row r="847" spans="6:11">
      <c r="F847" s="24"/>
      <c r="G847" s="24"/>
      <c r="H847" s="24"/>
      <c r="I847" s="24"/>
      <c r="J847" s="24"/>
      <c r="K847" s="24"/>
    </row>
    <row r="848" spans="6:11">
      <c r="F848" s="24"/>
      <c r="G848" s="24"/>
      <c r="H848" s="24"/>
      <c r="I848" s="24"/>
      <c r="J848" s="24"/>
      <c r="K848" s="24"/>
    </row>
    <row r="849" spans="6:11">
      <c r="F849" s="24"/>
      <c r="G849" s="24"/>
      <c r="H849" s="24"/>
      <c r="I849" s="24"/>
      <c r="J849" s="24"/>
      <c r="K849" s="24"/>
    </row>
    <row r="850" spans="6:11">
      <c r="F850" s="24"/>
      <c r="G850" s="24"/>
      <c r="H850" s="24"/>
      <c r="I850" s="24"/>
      <c r="J850" s="24"/>
      <c r="K850" s="24"/>
    </row>
    <row r="851" spans="6:11">
      <c r="F851" s="24"/>
      <c r="G851" s="24"/>
      <c r="H851" s="24"/>
      <c r="I851" s="24"/>
      <c r="J851" s="24"/>
      <c r="K851" s="24"/>
    </row>
    <row r="852" spans="6:11">
      <c r="F852" s="24"/>
      <c r="G852" s="24"/>
      <c r="H852" s="24"/>
      <c r="I852" s="24"/>
      <c r="J852" s="24"/>
      <c r="K852" s="24"/>
    </row>
    <row r="853" spans="6:11">
      <c r="F853" s="24"/>
      <c r="G853" s="24"/>
      <c r="H853" s="24"/>
      <c r="I853" s="24"/>
      <c r="J853" s="24"/>
      <c r="K853" s="24"/>
    </row>
    <row r="854" spans="6:11">
      <c r="F854" s="24"/>
      <c r="G854" s="24"/>
      <c r="H854" s="24"/>
      <c r="I854" s="24"/>
      <c r="J854" s="24"/>
      <c r="K854" s="24"/>
    </row>
    <row r="855" spans="6:11">
      <c r="F855" s="24"/>
      <c r="G855" s="24"/>
      <c r="H855" s="24"/>
      <c r="I855" s="24"/>
      <c r="J855" s="24"/>
      <c r="K855" s="24"/>
    </row>
    <row r="856" spans="6:11">
      <c r="F856" s="24"/>
      <c r="G856" s="24"/>
      <c r="H856" s="24"/>
      <c r="I856" s="24"/>
      <c r="J856" s="24"/>
      <c r="K856" s="24"/>
    </row>
    <row r="857" spans="6:11">
      <c r="F857" s="24"/>
      <c r="G857" s="24"/>
      <c r="H857" s="24"/>
      <c r="I857" s="24"/>
      <c r="J857" s="24"/>
      <c r="K857" s="24"/>
    </row>
    <row r="858" spans="6:11">
      <c r="F858" s="24"/>
      <c r="G858" s="24"/>
      <c r="H858" s="24"/>
      <c r="I858" s="24"/>
      <c r="J858" s="24"/>
      <c r="K858" s="24"/>
    </row>
    <row r="859" spans="6:11">
      <c r="F859" s="24"/>
      <c r="G859" s="24"/>
      <c r="H859" s="24"/>
      <c r="I859" s="24"/>
      <c r="J859" s="24"/>
      <c r="K859" s="24"/>
    </row>
    <row r="860" spans="6:11">
      <c r="F860" s="24"/>
      <c r="G860" s="24"/>
      <c r="H860" s="24"/>
      <c r="I860" s="24"/>
      <c r="J860" s="24"/>
      <c r="K860" s="24"/>
    </row>
    <row r="861" spans="6:11">
      <c r="F861" s="24"/>
      <c r="G861" s="24"/>
      <c r="H861" s="24"/>
      <c r="I861" s="24"/>
      <c r="J861" s="24"/>
      <c r="K861" s="24"/>
    </row>
    <row r="862" spans="6:11">
      <c r="F862" s="24"/>
      <c r="G862" s="24"/>
      <c r="H862" s="24"/>
      <c r="I862" s="24"/>
      <c r="J862" s="24"/>
      <c r="K862" s="24"/>
    </row>
    <row r="863" spans="6:11">
      <c r="F863" s="24"/>
      <c r="G863" s="24"/>
      <c r="H863" s="24"/>
      <c r="I863" s="24"/>
      <c r="J863" s="24"/>
      <c r="K863" s="24"/>
    </row>
    <row r="864" spans="6:11">
      <c r="F864" s="24"/>
      <c r="G864" s="24"/>
      <c r="H864" s="24"/>
      <c r="I864" s="24"/>
      <c r="J864" s="24"/>
      <c r="K864" s="24"/>
    </row>
    <row r="865" spans="6:11">
      <c r="F865" s="24"/>
      <c r="G865" s="24"/>
      <c r="H865" s="24"/>
      <c r="I865" s="24"/>
      <c r="J865" s="24"/>
      <c r="K865" s="24"/>
    </row>
    <row r="866" spans="6:11">
      <c r="F866" s="24"/>
      <c r="G866" s="24"/>
      <c r="H866" s="24"/>
      <c r="I866" s="24"/>
      <c r="J866" s="24"/>
      <c r="K866" s="24"/>
    </row>
    <row r="867" spans="6:11">
      <c r="F867" s="24"/>
      <c r="G867" s="24"/>
      <c r="H867" s="24"/>
      <c r="I867" s="24"/>
      <c r="J867" s="24"/>
      <c r="K867" s="24"/>
    </row>
    <row r="868" spans="6:11">
      <c r="F868" s="24"/>
      <c r="G868" s="24"/>
      <c r="H868" s="24"/>
      <c r="I868" s="24"/>
      <c r="J868" s="24"/>
      <c r="K868" s="24"/>
    </row>
    <row r="869" spans="6:11">
      <c r="F869" s="24"/>
      <c r="G869" s="24"/>
      <c r="H869" s="24"/>
      <c r="I869" s="24"/>
      <c r="J869" s="24"/>
      <c r="K869" s="24"/>
    </row>
    <row r="870" spans="6:11">
      <c r="F870" s="24"/>
      <c r="G870" s="24"/>
      <c r="H870" s="24"/>
      <c r="I870" s="24"/>
      <c r="J870" s="24"/>
      <c r="K870" s="24"/>
    </row>
    <row r="871" spans="6:11">
      <c r="F871" s="24"/>
      <c r="G871" s="24"/>
      <c r="H871" s="24"/>
      <c r="I871" s="24"/>
      <c r="J871" s="24"/>
      <c r="K871" s="24"/>
    </row>
    <row r="872" spans="6:11">
      <c r="F872" s="24"/>
      <c r="G872" s="24"/>
      <c r="H872" s="24"/>
      <c r="I872" s="24"/>
      <c r="J872" s="24"/>
      <c r="K872" s="24"/>
    </row>
    <row r="873" spans="6:11">
      <c r="F873" s="24"/>
      <c r="G873" s="24"/>
      <c r="H873" s="24"/>
      <c r="I873" s="24"/>
      <c r="J873" s="24"/>
      <c r="K873" s="24"/>
    </row>
    <row r="874" spans="6:11">
      <c r="F874" s="24"/>
      <c r="G874" s="24"/>
      <c r="H874" s="24"/>
      <c r="I874" s="24"/>
      <c r="J874" s="24"/>
      <c r="K874" s="24"/>
    </row>
    <row r="875" spans="6:11">
      <c r="F875" s="24"/>
      <c r="G875" s="24"/>
      <c r="H875" s="24"/>
      <c r="I875" s="24"/>
      <c r="J875" s="24"/>
      <c r="K875" s="24"/>
    </row>
    <row r="876" spans="6:11">
      <c r="F876" s="24"/>
      <c r="G876" s="24"/>
      <c r="H876" s="24"/>
      <c r="I876" s="24"/>
      <c r="J876" s="24"/>
      <c r="K876" s="24"/>
    </row>
    <row r="877" spans="6:11">
      <c r="F877" s="24"/>
      <c r="G877" s="24"/>
      <c r="H877" s="24"/>
      <c r="I877" s="24"/>
      <c r="J877" s="24"/>
      <c r="K877" s="24"/>
    </row>
    <row r="878" spans="6:11">
      <c r="F878" s="24"/>
      <c r="G878" s="24"/>
      <c r="H878" s="24"/>
      <c r="I878" s="24"/>
      <c r="J878" s="24"/>
      <c r="K878" s="24"/>
    </row>
    <row r="879" spans="6:11">
      <c r="F879" s="24"/>
      <c r="G879" s="24"/>
      <c r="H879" s="24"/>
      <c r="I879" s="24"/>
      <c r="J879" s="24"/>
      <c r="K879" s="24"/>
    </row>
    <row r="880" spans="6:11">
      <c r="F880" s="24"/>
      <c r="G880" s="24"/>
      <c r="H880" s="24"/>
      <c r="I880" s="24"/>
      <c r="J880" s="24"/>
      <c r="K880" s="24"/>
    </row>
    <row r="881" spans="6:11">
      <c r="F881" s="24"/>
      <c r="G881" s="24"/>
      <c r="H881" s="24"/>
      <c r="I881" s="24"/>
      <c r="J881" s="24"/>
      <c r="K881" s="24"/>
    </row>
    <row r="882" spans="6:11">
      <c r="F882" s="24"/>
      <c r="G882" s="24"/>
      <c r="H882" s="24"/>
      <c r="I882" s="24"/>
      <c r="J882" s="24"/>
      <c r="K882" s="24"/>
    </row>
    <row r="883" spans="6:11">
      <c r="F883" s="24"/>
      <c r="G883" s="24"/>
      <c r="H883" s="24"/>
      <c r="I883" s="24"/>
      <c r="J883" s="24"/>
      <c r="K883" s="24"/>
    </row>
    <row r="884" spans="6:11">
      <c r="F884" s="24"/>
      <c r="G884" s="24"/>
      <c r="H884" s="24"/>
      <c r="I884" s="24"/>
      <c r="J884" s="24"/>
      <c r="K884" s="24"/>
    </row>
    <row r="885" spans="6:11">
      <c r="F885" s="24"/>
      <c r="G885" s="24"/>
      <c r="H885" s="24"/>
      <c r="I885" s="24"/>
      <c r="J885" s="24"/>
      <c r="K885" s="24"/>
    </row>
    <row r="886" spans="6:11">
      <c r="F886" s="24"/>
      <c r="G886" s="24"/>
      <c r="H886" s="24"/>
      <c r="I886" s="24"/>
      <c r="J886" s="24"/>
      <c r="K886" s="24"/>
    </row>
    <row r="887" spans="6:11">
      <c r="F887" s="24"/>
      <c r="G887" s="24"/>
      <c r="H887" s="24"/>
      <c r="I887" s="24"/>
      <c r="J887" s="24"/>
      <c r="K887" s="24"/>
    </row>
    <row r="888" spans="6:11">
      <c r="F888" s="24"/>
      <c r="G888" s="24"/>
      <c r="H888" s="24"/>
      <c r="I888" s="24"/>
      <c r="J888" s="24"/>
      <c r="K888" s="24"/>
    </row>
    <row r="889" spans="6:11">
      <c r="F889" s="24"/>
      <c r="G889" s="24"/>
      <c r="H889" s="24"/>
      <c r="I889" s="24"/>
      <c r="J889" s="24"/>
      <c r="K889" s="24"/>
    </row>
    <row r="890" spans="6:11">
      <c r="F890" s="24"/>
      <c r="G890" s="24"/>
      <c r="H890" s="24"/>
      <c r="I890" s="24"/>
      <c r="J890" s="24"/>
      <c r="K890" s="24"/>
    </row>
    <row r="891" spans="6:11">
      <c r="F891" s="24"/>
      <c r="G891" s="24"/>
      <c r="H891" s="24"/>
      <c r="I891" s="24"/>
      <c r="J891" s="24"/>
      <c r="K891" s="24"/>
    </row>
    <row r="892" spans="6:11">
      <c r="F892" s="24"/>
      <c r="G892" s="24"/>
      <c r="H892" s="24"/>
      <c r="I892" s="24"/>
      <c r="J892" s="24"/>
      <c r="K892" s="24"/>
    </row>
    <row r="893" spans="6:11">
      <c r="F893" s="24"/>
      <c r="G893" s="24"/>
      <c r="H893" s="24"/>
      <c r="I893" s="24"/>
      <c r="J893" s="24"/>
      <c r="K893" s="24"/>
    </row>
    <row r="894" spans="6:11">
      <c r="F894" s="24"/>
      <c r="G894" s="24"/>
      <c r="H894" s="24"/>
      <c r="I894" s="24"/>
      <c r="J894" s="24"/>
      <c r="K894" s="24"/>
    </row>
    <row r="895" spans="6:11">
      <c r="F895" s="24"/>
      <c r="G895" s="24"/>
      <c r="H895" s="24"/>
      <c r="I895" s="24"/>
      <c r="J895" s="24"/>
      <c r="K895" s="24"/>
    </row>
    <row r="896" spans="6:11">
      <c r="F896" s="24"/>
      <c r="G896" s="24"/>
      <c r="H896" s="24"/>
      <c r="I896" s="24"/>
      <c r="J896" s="24"/>
      <c r="K896" s="24"/>
    </row>
    <row r="897" spans="6:11">
      <c r="F897" s="24"/>
      <c r="G897" s="24"/>
      <c r="H897" s="24"/>
      <c r="I897" s="24"/>
      <c r="J897" s="24"/>
      <c r="K897" s="24"/>
    </row>
    <row r="898" spans="6:11">
      <c r="F898" s="24"/>
      <c r="G898" s="24"/>
      <c r="H898" s="24"/>
      <c r="I898" s="24"/>
      <c r="J898" s="24"/>
      <c r="K898" s="24"/>
    </row>
    <row r="899" spans="6:11">
      <c r="F899" s="24"/>
      <c r="G899" s="24"/>
      <c r="H899" s="24"/>
      <c r="I899" s="24"/>
      <c r="J899" s="24"/>
      <c r="K899" s="24"/>
    </row>
    <row r="900" spans="6:11">
      <c r="F900" s="24"/>
      <c r="G900" s="24"/>
      <c r="H900" s="24"/>
      <c r="I900" s="24"/>
      <c r="J900" s="24"/>
      <c r="K900" s="24"/>
    </row>
    <row r="901" spans="6:11">
      <c r="F901" s="24"/>
      <c r="G901" s="24"/>
      <c r="H901" s="24"/>
      <c r="I901" s="24"/>
      <c r="J901" s="24"/>
      <c r="K901" s="24"/>
    </row>
    <row r="902" spans="6:11">
      <c r="F902" s="24"/>
      <c r="G902" s="24"/>
      <c r="H902" s="24"/>
      <c r="I902" s="24"/>
      <c r="J902" s="24"/>
      <c r="K902" s="24"/>
    </row>
    <row r="903" spans="6:11">
      <c r="F903" s="24"/>
      <c r="G903" s="24"/>
      <c r="H903" s="24"/>
      <c r="I903" s="24"/>
      <c r="J903" s="24"/>
      <c r="K903" s="24"/>
    </row>
    <row r="904" spans="6:11">
      <c r="F904" s="24"/>
      <c r="G904" s="24"/>
      <c r="H904" s="24"/>
      <c r="I904" s="24"/>
      <c r="J904" s="24"/>
      <c r="K904" s="24"/>
    </row>
    <row r="905" spans="6:11">
      <c r="F905" s="24"/>
      <c r="G905" s="24"/>
      <c r="H905" s="24"/>
      <c r="I905" s="24"/>
      <c r="J905" s="24"/>
      <c r="K905" s="24"/>
    </row>
    <row r="906" spans="6:11">
      <c r="F906" s="24"/>
      <c r="G906" s="24"/>
      <c r="H906" s="24"/>
      <c r="I906" s="24"/>
      <c r="J906" s="24"/>
      <c r="K906" s="24"/>
    </row>
    <row r="907" spans="6:11">
      <c r="F907" s="24"/>
      <c r="G907" s="24"/>
      <c r="H907" s="24"/>
      <c r="I907" s="24"/>
      <c r="J907" s="24"/>
      <c r="K907" s="24"/>
    </row>
    <row r="908" spans="6:11">
      <c r="F908" s="24"/>
      <c r="G908" s="24"/>
      <c r="H908" s="24"/>
      <c r="I908" s="24"/>
      <c r="J908" s="24"/>
      <c r="K908" s="24"/>
    </row>
    <row r="909" spans="6:11">
      <c r="F909" s="24"/>
      <c r="G909" s="24"/>
      <c r="H909" s="24"/>
      <c r="I909" s="24"/>
      <c r="J909" s="24"/>
      <c r="K909" s="24"/>
    </row>
    <row r="910" spans="6:11">
      <c r="F910" s="24"/>
      <c r="G910" s="24"/>
      <c r="H910" s="24"/>
      <c r="I910" s="24"/>
      <c r="J910" s="24"/>
      <c r="K910" s="24"/>
    </row>
    <row r="911" spans="6:11">
      <c r="F911" s="24"/>
      <c r="G911" s="24"/>
      <c r="H911" s="24"/>
      <c r="I911" s="24"/>
      <c r="J911" s="24"/>
      <c r="K911" s="24"/>
    </row>
    <row r="912" spans="6:11">
      <c r="F912" s="24"/>
      <c r="G912" s="24"/>
      <c r="H912" s="24"/>
      <c r="I912" s="24"/>
      <c r="J912" s="24"/>
      <c r="K912" s="24"/>
    </row>
    <row r="913" spans="6:11">
      <c r="F913" s="24"/>
      <c r="G913" s="24"/>
      <c r="H913" s="24"/>
      <c r="I913" s="24"/>
      <c r="J913" s="24"/>
      <c r="K913" s="24"/>
    </row>
    <row r="914" spans="6:11">
      <c r="F914" s="24"/>
      <c r="G914" s="24"/>
      <c r="H914" s="24"/>
      <c r="I914" s="24"/>
      <c r="J914" s="24"/>
      <c r="K914" s="24"/>
    </row>
    <row r="915" spans="6:11">
      <c r="F915" s="24"/>
      <c r="G915" s="24"/>
      <c r="H915" s="24"/>
      <c r="I915" s="24"/>
      <c r="J915" s="24"/>
      <c r="K915" s="24"/>
    </row>
    <row r="916" spans="6:11">
      <c r="F916" s="24"/>
      <c r="G916" s="24"/>
      <c r="H916" s="24"/>
      <c r="I916" s="24"/>
      <c r="J916" s="24"/>
      <c r="K916" s="24"/>
    </row>
    <row r="917" spans="6:11">
      <c r="F917" s="24"/>
      <c r="G917" s="24"/>
      <c r="H917" s="24"/>
      <c r="I917" s="24"/>
      <c r="J917" s="24"/>
      <c r="K917" s="24"/>
    </row>
    <row r="918" spans="6:11">
      <c r="F918" s="24"/>
      <c r="G918" s="24"/>
      <c r="H918" s="24"/>
      <c r="I918" s="24"/>
      <c r="J918" s="24"/>
      <c r="K918" s="24"/>
    </row>
    <row r="919" spans="6:11">
      <c r="F919" s="24"/>
      <c r="G919" s="24"/>
      <c r="H919" s="24"/>
      <c r="I919" s="24"/>
      <c r="J919" s="24"/>
      <c r="K919" s="24"/>
    </row>
    <row r="920" spans="6:11">
      <c r="F920" s="24"/>
      <c r="G920" s="24"/>
      <c r="H920" s="24"/>
      <c r="I920" s="24"/>
      <c r="J920" s="24"/>
      <c r="K920" s="24"/>
    </row>
    <row r="921" spans="6:11">
      <c r="F921" s="24"/>
      <c r="G921" s="24"/>
      <c r="H921" s="24"/>
      <c r="I921" s="24"/>
      <c r="J921" s="24"/>
      <c r="K921" s="24"/>
    </row>
    <row r="922" spans="6:11">
      <c r="F922" s="24"/>
      <c r="G922" s="24"/>
      <c r="H922" s="24"/>
      <c r="I922" s="24"/>
      <c r="J922" s="24"/>
      <c r="K922" s="24"/>
    </row>
    <row r="923" spans="6:11">
      <c r="F923" s="24"/>
      <c r="G923" s="24"/>
      <c r="H923" s="24"/>
      <c r="I923" s="24"/>
      <c r="J923" s="24"/>
      <c r="K923" s="24"/>
    </row>
    <row r="924" spans="6:11">
      <c r="F924" s="24"/>
      <c r="G924" s="24"/>
      <c r="H924" s="24"/>
      <c r="I924" s="24"/>
      <c r="J924" s="24"/>
      <c r="K924" s="24"/>
    </row>
    <row r="925" spans="6:11">
      <c r="F925" s="24"/>
      <c r="G925" s="24"/>
      <c r="H925" s="24"/>
      <c r="I925" s="24"/>
      <c r="J925" s="24"/>
      <c r="K925" s="24"/>
    </row>
    <row r="926" spans="6:11">
      <c r="F926" s="24"/>
      <c r="G926" s="24"/>
      <c r="H926" s="24"/>
      <c r="I926" s="24"/>
      <c r="J926" s="24"/>
      <c r="K926" s="24"/>
    </row>
    <row r="927" spans="6:11">
      <c r="F927" s="24"/>
      <c r="G927" s="24"/>
      <c r="H927" s="24"/>
      <c r="I927" s="24"/>
      <c r="J927" s="24"/>
      <c r="K927" s="24"/>
    </row>
    <row r="928" spans="6:11">
      <c r="F928" s="24"/>
      <c r="G928" s="24"/>
      <c r="H928" s="24"/>
      <c r="I928" s="24"/>
      <c r="J928" s="24"/>
      <c r="K928" s="24"/>
    </row>
    <row r="929" spans="6:11">
      <c r="F929" s="24"/>
      <c r="G929" s="24"/>
      <c r="H929" s="24"/>
      <c r="I929" s="24"/>
      <c r="J929" s="24"/>
      <c r="K929" s="24"/>
    </row>
    <row r="930" spans="6:11">
      <c r="F930" s="24"/>
      <c r="G930" s="24"/>
      <c r="H930" s="24"/>
      <c r="I930" s="24"/>
      <c r="J930" s="24"/>
      <c r="K930" s="24"/>
    </row>
    <row r="931" spans="6:11">
      <c r="F931" s="24"/>
      <c r="G931" s="24"/>
      <c r="H931" s="24"/>
      <c r="I931" s="24"/>
      <c r="J931" s="24"/>
      <c r="K931" s="24"/>
    </row>
    <row r="932" spans="6:11">
      <c r="F932" s="24"/>
      <c r="G932" s="24"/>
      <c r="H932" s="24"/>
      <c r="I932" s="24"/>
      <c r="J932" s="24"/>
      <c r="K932" s="24"/>
    </row>
    <row r="933" spans="6:11">
      <c r="F933" s="24"/>
      <c r="G933" s="24"/>
      <c r="H933" s="24"/>
      <c r="I933" s="24"/>
      <c r="J933" s="24"/>
      <c r="K933" s="24"/>
    </row>
    <row r="934" spans="6:11">
      <c r="F934" s="24"/>
      <c r="G934" s="24"/>
      <c r="H934" s="24"/>
      <c r="I934" s="24"/>
      <c r="J934" s="24"/>
      <c r="K934" s="24"/>
    </row>
    <row r="935" spans="6:11">
      <c r="F935" s="24"/>
      <c r="G935" s="24"/>
      <c r="H935" s="24"/>
      <c r="I935" s="24"/>
      <c r="J935" s="24"/>
      <c r="K935" s="24"/>
    </row>
    <row r="936" spans="6:11">
      <c r="F936" s="24"/>
      <c r="G936" s="24"/>
      <c r="H936" s="24"/>
      <c r="I936" s="24"/>
      <c r="J936" s="24"/>
      <c r="K936" s="24"/>
    </row>
    <row r="937" spans="6:11">
      <c r="F937" s="24"/>
      <c r="G937" s="24"/>
      <c r="H937" s="24"/>
      <c r="I937" s="24"/>
      <c r="J937" s="24"/>
      <c r="K937" s="24"/>
    </row>
    <row r="938" spans="6:11">
      <c r="F938" s="24"/>
      <c r="G938" s="24"/>
      <c r="H938" s="24"/>
      <c r="I938" s="24"/>
      <c r="J938" s="24"/>
      <c r="K938" s="24"/>
    </row>
    <row r="939" spans="6:11">
      <c r="F939" s="24"/>
      <c r="G939" s="24"/>
      <c r="H939" s="24"/>
      <c r="I939" s="24"/>
      <c r="J939" s="24"/>
      <c r="K939" s="24"/>
    </row>
    <row r="940" spans="6:11">
      <c r="F940" s="24"/>
      <c r="G940" s="24"/>
      <c r="H940" s="24"/>
      <c r="I940" s="24"/>
      <c r="J940" s="24"/>
      <c r="K940" s="24"/>
    </row>
    <row r="941" spans="6:11">
      <c r="F941" s="24"/>
      <c r="G941" s="24"/>
      <c r="H941" s="24"/>
      <c r="I941" s="24"/>
      <c r="J941" s="24"/>
      <c r="K941" s="24"/>
    </row>
    <row r="942" spans="6:11">
      <c r="F942" s="24"/>
      <c r="G942" s="24"/>
      <c r="H942" s="24"/>
      <c r="I942" s="24"/>
      <c r="J942" s="24"/>
      <c r="K942" s="24"/>
    </row>
    <row r="943" spans="6:11">
      <c r="F943" s="24"/>
      <c r="G943" s="24"/>
      <c r="H943" s="24"/>
      <c r="I943" s="24"/>
      <c r="J943" s="24"/>
      <c r="K943" s="24"/>
    </row>
    <row r="944" spans="6:11">
      <c r="F944" s="24"/>
      <c r="G944" s="24"/>
      <c r="H944" s="24"/>
      <c r="I944" s="24"/>
      <c r="J944" s="24"/>
      <c r="K944" s="24"/>
    </row>
    <row r="945" spans="6:11">
      <c r="F945" s="24"/>
      <c r="G945" s="24"/>
      <c r="H945" s="24"/>
      <c r="I945" s="24"/>
      <c r="J945" s="24"/>
      <c r="K945" s="24"/>
    </row>
    <row r="946" spans="6:11">
      <c r="F946" s="24"/>
      <c r="G946" s="24"/>
      <c r="H946" s="24"/>
      <c r="I946" s="24"/>
      <c r="J946" s="24"/>
      <c r="K946" s="24"/>
    </row>
    <row r="947" spans="6:11">
      <c r="F947" s="24"/>
      <c r="G947" s="24"/>
      <c r="H947" s="24"/>
      <c r="I947" s="24"/>
      <c r="J947" s="24"/>
      <c r="K947" s="24"/>
    </row>
    <row r="948" spans="6:11">
      <c r="F948" s="24"/>
      <c r="G948" s="24"/>
      <c r="H948" s="24"/>
      <c r="I948" s="24"/>
      <c r="J948" s="24"/>
      <c r="K948" s="24"/>
    </row>
    <row r="949" spans="6:11">
      <c r="F949" s="24"/>
      <c r="G949" s="24"/>
      <c r="H949" s="24"/>
      <c r="I949" s="24"/>
      <c r="J949" s="24"/>
      <c r="K949" s="24"/>
    </row>
    <row r="950" spans="6:11">
      <c r="F950" s="24"/>
      <c r="G950" s="24"/>
      <c r="H950" s="24"/>
      <c r="I950" s="24"/>
      <c r="J950" s="24"/>
      <c r="K950" s="24"/>
    </row>
    <row r="951" spans="6:11">
      <c r="F951" s="24"/>
      <c r="G951" s="24"/>
      <c r="H951" s="24"/>
      <c r="I951" s="24"/>
      <c r="J951" s="24"/>
      <c r="K951" s="24"/>
    </row>
    <row r="952" spans="6:11">
      <c r="F952" s="24"/>
      <c r="G952" s="24"/>
      <c r="H952" s="24"/>
      <c r="I952" s="24"/>
      <c r="J952" s="24"/>
      <c r="K952" s="24"/>
    </row>
    <row r="953" spans="6:11">
      <c r="F953" s="24"/>
      <c r="G953" s="24"/>
      <c r="H953" s="24"/>
      <c r="I953" s="24"/>
      <c r="J953" s="24"/>
      <c r="K953" s="24"/>
    </row>
    <row r="954" spans="6:11">
      <c r="F954" s="24"/>
      <c r="G954" s="24"/>
      <c r="H954" s="24"/>
      <c r="I954" s="24"/>
      <c r="J954" s="24"/>
      <c r="K954" s="24"/>
    </row>
    <row r="955" spans="6:11">
      <c r="F955" s="24"/>
      <c r="G955" s="24"/>
      <c r="H955" s="24"/>
      <c r="I955" s="24"/>
      <c r="J955" s="24"/>
      <c r="K955" s="24"/>
    </row>
    <row r="956" spans="6:11">
      <c r="F956" s="24"/>
      <c r="G956" s="24"/>
      <c r="H956" s="24"/>
      <c r="I956" s="24"/>
      <c r="J956" s="24"/>
      <c r="K956" s="24"/>
    </row>
    <row r="957" spans="6:11">
      <c r="F957" s="24"/>
      <c r="G957" s="24"/>
      <c r="H957" s="24"/>
      <c r="I957" s="24"/>
      <c r="J957" s="24"/>
      <c r="K957" s="24"/>
    </row>
    <row r="958" spans="6:11">
      <c r="F958" s="24"/>
      <c r="G958" s="24"/>
      <c r="H958" s="24"/>
      <c r="I958" s="24"/>
      <c r="J958" s="24"/>
      <c r="K958" s="24"/>
    </row>
    <row r="959" spans="6:11">
      <c r="F959" s="24"/>
      <c r="G959" s="24"/>
      <c r="H959" s="24"/>
      <c r="I959" s="24"/>
      <c r="J959" s="24"/>
      <c r="K959" s="24"/>
    </row>
    <row r="960" spans="6:11">
      <c r="F960" s="24"/>
      <c r="G960" s="24"/>
      <c r="H960" s="24"/>
      <c r="I960" s="24"/>
      <c r="J960" s="24"/>
      <c r="K960" s="24"/>
    </row>
    <row r="961" spans="6:11">
      <c r="F961" s="24"/>
      <c r="G961" s="24"/>
      <c r="H961" s="24"/>
      <c r="I961" s="24"/>
      <c r="J961" s="24"/>
      <c r="K961" s="24"/>
    </row>
    <row r="962" spans="6:11">
      <c r="F962" s="24"/>
      <c r="G962" s="24"/>
      <c r="H962" s="24"/>
      <c r="I962" s="24"/>
      <c r="J962" s="24"/>
      <c r="K962" s="24"/>
    </row>
    <row r="963" spans="6:11">
      <c r="F963" s="24"/>
      <c r="G963" s="24"/>
      <c r="H963" s="24"/>
      <c r="I963" s="24"/>
      <c r="J963" s="24"/>
      <c r="K963" s="24"/>
    </row>
    <row r="964" spans="6:11">
      <c r="F964" s="24"/>
      <c r="G964" s="24"/>
      <c r="H964" s="24"/>
      <c r="I964" s="24"/>
      <c r="J964" s="24"/>
      <c r="K964" s="24"/>
    </row>
    <row r="965" spans="6:11">
      <c r="F965" s="24"/>
      <c r="G965" s="24"/>
      <c r="H965" s="24"/>
      <c r="I965" s="24"/>
      <c r="J965" s="24"/>
      <c r="K965" s="24"/>
    </row>
    <row r="966" spans="6:11">
      <c r="F966" s="24"/>
      <c r="G966" s="24"/>
      <c r="H966" s="24"/>
      <c r="I966" s="24"/>
      <c r="J966" s="24"/>
      <c r="K966" s="24"/>
    </row>
    <row r="967" spans="6:11">
      <c r="F967" s="24"/>
      <c r="G967" s="24"/>
      <c r="H967" s="24"/>
      <c r="I967" s="24"/>
      <c r="J967" s="24"/>
      <c r="K967" s="24"/>
    </row>
    <row r="968" spans="6:11">
      <c r="F968" s="24"/>
      <c r="G968" s="24"/>
      <c r="H968" s="24"/>
      <c r="I968" s="24"/>
      <c r="J968" s="24"/>
      <c r="K968" s="24"/>
    </row>
    <row r="969" spans="6:11">
      <c r="F969" s="24"/>
      <c r="G969" s="24"/>
      <c r="H969" s="24"/>
      <c r="I969" s="24"/>
      <c r="J969" s="24"/>
      <c r="K969" s="24"/>
    </row>
    <row r="970" spans="6:11">
      <c r="F970" s="24"/>
      <c r="G970" s="24"/>
      <c r="H970" s="24"/>
      <c r="I970" s="24"/>
      <c r="J970" s="24"/>
      <c r="K970" s="24"/>
    </row>
    <row r="971" spans="6:11">
      <c r="F971" s="24"/>
      <c r="G971" s="24"/>
      <c r="H971" s="24"/>
      <c r="I971" s="24"/>
      <c r="J971" s="24"/>
      <c r="K971" s="24"/>
    </row>
    <row r="972" spans="6:11">
      <c r="F972" s="24"/>
      <c r="G972" s="24"/>
      <c r="H972" s="24"/>
      <c r="I972" s="24"/>
      <c r="J972" s="24"/>
      <c r="K972" s="24"/>
    </row>
    <row r="973" spans="6:11">
      <c r="F973" s="24"/>
      <c r="G973" s="24"/>
      <c r="H973" s="24"/>
      <c r="I973" s="24"/>
      <c r="J973" s="24"/>
      <c r="K973" s="24"/>
    </row>
    <row r="974" spans="6:11">
      <c r="F974" s="24"/>
      <c r="G974" s="24"/>
      <c r="H974" s="24"/>
      <c r="I974" s="24"/>
      <c r="J974" s="24"/>
      <c r="K974" s="24"/>
    </row>
    <row r="975" spans="6:11">
      <c r="F975" s="24"/>
      <c r="G975" s="24"/>
      <c r="H975" s="24"/>
      <c r="I975" s="24"/>
      <c r="J975" s="24"/>
      <c r="K975" s="24"/>
    </row>
    <row r="976" spans="6:11">
      <c r="F976" s="24"/>
      <c r="G976" s="24"/>
      <c r="H976" s="24"/>
      <c r="I976" s="24"/>
      <c r="J976" s="24"/>
      <c r="K976" s="24"/>
    </row>
    <row r="977" spans="6:11">
      <c r="F977" s="24"/>
      <c r="G977" s="24"/>
      <c r="H977" s="24"/>
      <c r="I977" s="24"/>
      <c r="J977" s="24"/>
      <c r="K977" s="24"/>
    </row>
    <row r="978" spans="6:11">
      <c r="F978" s="24"/>
      <c r="G978" s="24"/>
      <c r="H978" s="24"/>
      <c r="I978" s="24"/>
      <c r="J978" s="24"/>
      <c r="K978" s="24"/>
    </row>
    <row r="979" spans="6:11">
      <c r="F979" s="24"/>
      <c r="G979" s="24"/>
      <c r="H979" s="24"/>
      <c r="I979" s="24"/>
      <c r="J979" s="24"/>
      <c r="K979" s="24"/>
    </row>
    <row r="980" spans="6:11">
      <c r="F980" s="24"/>
      <c r="G980" s="24"/>
      <c r="H980" s="24"/>
      <c r="I980" s="24"/>
      <c r="J980" s="24"/>
      <c r="K980" s="24"/>
    </row>
    <row r="981" spans="6:11">
      <c r="F981" s="24"/>
      <c r="G981" s="24"/>
      <c r="H981" s="24"/>
      <c r="I981" s="24"/>
      <c r="J981" s="24"/>
      <c r="K981" s="24"/>
    </row>
    <row r="982" spans="6:11">
      <c r="F982" s="24"/>
      <c r="G982" s="24"/>
      <c r="H982" s="24"/>
      <c r="I982" s="24"/>
      <c r="J982" s="24"/>
      <c r="K982" s="24"/>
    </row>
    <row r="983" spans="6:11">
      <c r="F983" s="24"/>
      <c r="G983" s="24"/>
      <c r="H983" s="24"/>
      <c r="I983" s="24"/>
      <c r="J983" s="24"/>
      <c r="K983" s="24"/>
    </row>
    <row r="984" spans="6:11">
      <c r="F984" s="24"/>
      <c r="G984" s="24"/>
      <c r="H984" s="24"/>
      <c r="I984" s="24"/>
      <c r="J984" s="24"/>
      <c r="K984" s="24"/>
    </row>
    <row r="985" spans="6:11">
      <c r="F985" s="24"/>
      <c r="G985" s="24"/>
      <c r="H985" s="24"/>
      <c r="I985" s="24"/>
      <c r="J985" s="24"/>
      <c r="K985" s="24"/>
    </row>
    <row r="986" spans="6:11">
      <c r="F986" s="24"/>
      <c r="G986" s="24"/>
      <c r="H986" s="24"/>
      <c r="I986" s="24"/>
      <c r="J986" s="24"/>
      <c r="K986" s="24"/>
    </row>
    <row r="987" spans="6:11">
      <c r="F987" s="24"/>
      <c r="G987" s="24"/>
      <c r="H987" s="24"/>
      <c r="I987" s="24"/>
      <c r="J987" s="24"/>
      <c r="K987" s="24"/>
    </row>
    <row r="988" spans="6:11">
      <c r="F988" s="24"/>
      <c r="G988" s="24"/>
      <c r="H988" s="24"/>
      <c r="I988" s="24"/>
      <c r="J988" s="24"/>
      <c r="K988" s="24"/>
    </row>
    <row r="989" spans="6:11">
      <c r="F989" s="24"/>
      <c r="G989" s="24"/>
      <c r="H989" s="24"/>
      <c r="I989" s="24"/>
      <c r="J989" s="24"/>
      <c r="K989" s="24"/>
    </row>
    <row r="990" spans="6:11">
      <c r="F990" s="24"/>
      <c r="G990" s="24"/>
      <c r="H990" s="24"/>
      <c r="I990" s="24"/>
      <c r="J990" s="24"/>
      <c r="K990" s="24"/>
    </row>
    <row r="991" spans="6:11">
      <c r="F991" s="24"/>
      <c r="G991" s="24"/>
      <c r="H991" s="24"/>
      <c r="I991" s="24"/>
      <c r="J991" s="24"/>
      <c r="K991" s="24"/>
    </row>
    <row r="992" spans="6:11">
      <c r="F992" s="24"/>
      <c r="G992" s="24"/>
      <c r="H992" s="24"/>
      <c r="I992" s="24"/>
      <c r="J992" s="24"/>
      <c r="K992" s="24"/>
    </row>
    <row r="993" spans="6:11">
      <c r="F993" s="24"/>
      <c r="G993" s="24"/>
      <c r="H993" s="24"/>
      <c r="I993" s="24"/>
      <c r="J993" s="24"/>
      <c r="K993" s="24"/>
    </row>
    <row r="994" spans="6:11">
      <c r="F994" s="24"/>
      <c r="G994" s="24"/>
      <c r="H994" s="24"/>
      <c r="I994" s="24"/>
      <c r="J994" s="24"/>
      <c r="K994" s="24"/>
    </row>
    <row r="995" spans="6:11">
      <c r="F995" s="24"/>
      <c r="G995" s="24"/>
      <c r="H995" s="24"/>
      <c r="I995" s="24"/>
      <c r="J995" s="24"/>
      <c r="K995" s="24"/>
    </row>
    <row r="996" spans="6:11">
      <c r="F996" s="24"/>
      <c r="G996" s="24"/>
      <c r="H996" s="24"/>
      <c r="I996" s="24"/>
      <c r="J996" s="24"/>
      <c r="K996" s="24"/>
    </row>
    <row r="997" spans="6:11">
      <c r="F997" s="24"/>
      <c r="G997" s="24"/>
      <c r="H997" s="24"/>
      <c r="I997" s="24"/>
      <c r="J997" s="24"/>
      <c r="K997" s="24"/>
    </row>
    <row r="998" spans="6:11">
      <c r="F998" s="24"/>
      <c r="G998" s="24"/>
      <c r="H998" s="24"/>
      <c r="I998" s="24"/>
      <c r="J998" s="24"/>
      <c r="K998" s="24"/>
    </row>
    <row r="999" spans="6:11">
      <c r="F999" s="24"/>
      <c r="G999" s="24"/>
      <c r="H999" s="24"/>
      <c r="I999" s="24"/>
      <c r="J999" s="24"/>
      <c r="K999" s="24"/>
    </row>
    <row r="1000" spans="6:11">
      <c r="F1000" s="24"/>
      <c r="G1000" s="24"/>
      <c r="H1000" s="24"/>
      <c r="I1000" s="24"/>
      <c r="J1000" s="24"/>
      <c r="K1000" s="24"/>
    </row>
    <row r="1001" spans="6:11">
      <c r="F1001" s="24"/>
      <c r="G1001" s="24"/>
      <c r="H1001" s="24"/>
      <c r="I1001" s="24"/>
      <c r="J1001" s="24"/>
      <c r="K1001" s="24"/>
    </row>
    <row r="1002" spans="6:11">
      <c r="F1002" s="24"/>
      <c r="G1002" s="24"/>
      <c r="H1002" s="24"/>
      <c r="I1002" s="24"/>
      <c r="J1002" s="24"/>
      <c r="K1002" s="24"/>
    </row>
    <row r="1003" spans="6:11">
      <c r="F1003" s="24"/>
      <c r="G1003" s="24"/>
      <c r="H1003" s="24"/>
      <c r="I1003" s="24"/>
      <c r="J1003" s="24"/>
      <c r="K1003" s="24"/>
    </row>
    <row r="1004" spans="6:11">
      <c r="F1004" s="24"/>
      <c r="G1004" s="24"/>
      <c r="H1004" s="24"/>
      <c r="I1004" s="24"/>
      <c r="J1004" s="24"/>
      <c r="K1004" s="24"/>
    </row>
    <row r="1005" spans="6:11">
      <c r="F1005" s="24"/>
      <c r="G1005" s="24"/>
      <c r="H1005" s="24"/>
      <c r="I1005" s="24"/>
      <c r="J1005" s="24"/>
      <c r="K1005" s="24"/>
    </row>
    <row r="1006" spans="6:11">
      <c r="F1006" s="24"/>
      <c r="G1006" s="24"/>
      <c r="H1006" s="24"/>
      <c r="I1006" s="24"/>
      <c r="J1006" s="24"/>
      <c r="K1006" s="24"/>
    </row>
    <row r="1007" spans="6:11">
      <c r="F1007" s="24"/>
      <c r="G1007" s="24"/>
      <c r="H1007" s="24"/>
      <c r="I1007" s="24"/>
      <c r="J1007" s="24"/>
      <c r="K1007" s="24"/>
    </row>
    <row r="1008" spans="6:11">
      <c r="F1008" s="24"/>
      <c r="G1008" s="24"/>
      <c r="H1008" s="24"/>
      <c r="I1008" s="24"/>
      <c r="J1008" s="24"/>
      <c r="K1008" s="24"/>
    </row>
    <row r="1009" spans="6:11">
      <c r="F1009" s="24"/>
      <c r="G1009" s="24"/>
      <c r="H1009" s="24"/>
      <c r="I1009" s="24"/>
      <c r="J1009" s="24"/>
      <c r="K1009" s="24"/>
    </row>
    <row r="1010" spans="6:11">
      <c r="F1010" s="24"/>
      <c r="G1010" s="24"/>
      <c r="H1010" s="24"/>
      <c r="I1010" s="24"/>
      <c r="J1010" s="24"/>
      <c r="K1010" s="24"/>
    </row>
    <row r="1011" spans="6:11">
      <c r="F1011" s="24"/>
      <c r="G1011" s="24"/>
      <c r="H1011" s="24"/>
      <c r="I1011" s="24"/>
      <c r="J1011" s="24"/>
      <c r="K1011" s="24"/>
    </row>
    <row r="1012" spans="6:11">
      <c r="F1012" s="24"/>
      <c r="G1012" s="24"/>
      <c r="H1012" s="24"/>
      <c r="I1012" s="24"/>
      <c r="J1012" s="24"/>
      <c r="K1012" s="24"/>
    </row>
    <row r="1013" spans="6:11">
      <c r="F1013" s="24"/>
      <c r="G1013" s="24"/>
      <c r="H1013" s="24"/>
      <c r="I1013" s="24"/>
      <c r="J1013" s="24"/>
      <c r="K1013" s="24"/>
    </row>
    <row r="1014" spans="6:11">
      <c r="F1014" s="24"/>
      <c r="G1014" s="24"/>
      <c r="H1014" s="24"/>
      <c r="I1014" s="24"/>
      <c r="J1014" s="24"/>
      <c r="K1014" s="24"/>
    </row>
    <row r="1015" spans="6:11">
      <c r="F1015" s="24"/>
      <c r="G1015" s="24"/>
      <c r="H1015" s="24"/>
      <c r="I1015" s="24"/>
      <c r="J1015" s="24"/>
      <c r="K1015" s="24"/>
    </row>
    <row r="1016" spans="6:11">
      <c r="F1016" s="24"/>
      <c r="G1016" s="24"/>
      <c r="H1016" s="24"/>
      <c r="I1016" s="24"/>
      <c r="J1016" s="24"/>
      <c r="K1016" s="24"/>
    </row>
    <row r="1017" spans="6:11">
      <c r="F1017" s="24"/>
      <c r="G1017" s="24"/>
      <c r="H1017" s="24"/>
      <c r="I1017" s="24"/>
      <c r="J1017" s="24"/>
      <c r="K1017" s="24"/>
    </row>
    <row r="1018" spans="6:11">
      <c r="F1018" s="24"/>
      <c r="G1018" s="24"/>
      <c r="H1018" s="24"/>
      <c r="I1018" s="24"/>
      <c r="J1018" s="24"/>
      <c r="K1018" s="24"/>
    </row>
    <row r="1019" spans="6:11">
      <c r="F1019" s="24"/>
      <c r="G1019" s="24"/>
      <c r="H1019" s="24"/>
      <c r="I1019" s="24"/>
      <c r="J1019" s="24"/>
      <c r="K1019" s="24"/>
    </row>
    <row r="1020" spans="6:11">
      <c r="F1020" s="24"/>
      <c r="G1020" s="24"/>
      <c r="H1020" s="24"/>
      <c r="I1020" s="24"/>
      <c r="J1020" s="24"/>
      <c r="K1020" s="24"/>
    </row>
    <row r="1021" spans="6:11">
      <c r="F1021" s="24"/>
      <c r="G1021" s="24"/>
      <c r="H1021" s="24"/>
      <c r="I1021" s="24"/>
      <c r="J1021" s="24"/>
      <c r="K1021" s="24"/>
    </row>
    <row r="1022" spans="6:11">
      <c r="F1022" s="24"/>
      <c r="G1022" s="24"/>
      <c r="H1022" s="24"/>
      <c r="I1022" s="24"/>
      <c r="J1022" s="24"/>
      <c r="K1022" s="24"/>
    </row>
    <row r="1023" spans="6:11">
      <c r="F1023" s="24"/>
      <c r="G1023" s="24"/>
      <c r="H1023" s="24"/>
      <c r="I1023" s="24"/>
      <c r="J1023" s="24"/>
      <c r="K1023" s="24"/>
    </row>
    <row r="1024" spans="6:11">
      <c r="F1024" s="24"/>
      <c r="G1024" s="24"/>
      <c r="H1024" s="24"/>
      <c r="I1024" s="24"/>
      <c r="J1024" s="24"/>
      <c r="K1024" s="24"/>
    </row>
    <row r="1025" spans="6:11">
      <c r="F1025" s="24"/>
      <c r="G1025" s="24"/>
      <c r="H1025" s="24"/>
      <c r="I1025" s="24"/>
      <c r="J1025" s="24"/>
      <c r="K1025" s="24"/>
    </row>
    <row r="1026" spans="6:11">
      <c r="F1026" s="24"/>
      <c r="G1026" s="24"/>
      <c r="H1026" s="24"/>
      <c r="I1026" s="24"/>
      <c r="J1026" s="24"/>
      <c r="K1026" s="24"/>
    </row>
    <row r="1027" spans="6:11">
      <c r="F1027" s="24"/>
      <c r="G1027" s="24"/>
      <c r="H1027" s="24"/>
      <c r="I1027" s="24"/>
      <c r="J1027" s="24"/>
      <c r="K1027" s="24"/>
    </row>
    <row r="1028" spans="6:11">
      <c r="F1028" s="24"/>
      <c r="G1028" s="24"/>
      <c r="H1028" s="24"/>
      <c r="I1028" s="24"/>
      <c r="J1028" s="24"/>
      <c r="K1028" s="24"/>
    </row>
    <row r="1029" spans="6:11">
      <c r="F1029" s="24"/>
      <c r="G1029" s="24"/>
      <c r="H1029" s="24"/>
      <c r="I1029" s="24"/>
      <c r="J1029" s="24"/>
      <c r="K1029" s="24"/>
    </row>
    <row r="1030" spans="6:11">
      <c r="F1030" s="24"/>
      <c r="G1030" s="24"/>
      <c r="H1030" s="24"/>
      <c r="I1030" s="24"/>
      <c r="J1030" s="24"/>
      <c r="K1030" s="24"/>
    </row>
    <row r="1031" spans="6:11">
      <c r="F1031" s="24"/>
      <c r="G1031" s="24"/>
      <c r="H1031" s="24"/>
      <c r="I1031" s="24"/>
      <c r="J1031" s="24"/>
      <c r="K1031" s="24"/>
    </row>
    <row r="1032" spans="6:11">
      <c r="F1032" s="24"/>
      <c r="G1032" s="24"/>
      <c r="H1032" s="24"/>
      <c r="I1032" s="24"/>
      <c r="J1032" s="24"/>
      <c r="K1032" s="24"/>
    </row>
    <row r="1033" spans="6:11">
      <c r="F1033" s="24"/>
      <c r="G1033" s="24"/>
      <c r="H1033" s="24"/>
      <c r="I1033" s="24"/>
      <c r="J1033" s="24"/>
      <c r="K1033" s="24"/>
    </row>
    <row r="1034" spans="6:11">
      <c r="F1034" s="24"/>
      <c r="G1034" s="24"/>
      <c r="H1034" s="24"/>
      <c r="I1034" s="24"/>
      <c r="J1034" s="24"/>
      <c r="K1034" s="24"/>
    </row>
    <row r="1035" spans="6:11">
      <c r="F1035" s="24"/>
      <c r="G1035" s="24"/>
      <c r="H1035" s="24"/>
      <c r="I1035" s="24"/>
      <c r="J1035" s="24"/>
      <c r="K1035" s="24"/>
    </row>
    <row r="1036" spans="6:11">
      <c r="F1036" s="24"/>
      <c r="G1036" s="24"/>
      <c r="H1036" s="24"/>
      <c r="I1036" s="24"/>
      <c r="J1036" s="24"/>
      <c r="K1036" s="24"/>
    </row>
    <row r="1037" spans="6:11">
      <c r="F1037" s="24"/>
      <c r="G1037" s="24"/>
      <c r="H1037" s="24"/>
      <c r="I1037" s="24"/>
      <c r="J1037" s="24"/>
      <c r="K1037" s="24"/>
    </row>
    <row r="1038" spans="6:11">
      <c r="F1038" s="24"/>
      <c r="G1038" s="24"/>
      <c r="H1038" s="24"/>
      <c r="I1038" s="24"/>
      <c r="J1038" s="24"/>
      <c r="K1038" s="24"/>
    </row>
    <row r="1039" spans="6:11">
      <c r="F1039" s="24"/>
      <c r="G1039" s="24"/>
      <c r="H1039" s="24"/>
      <c r="I1039" s="24"/>
      <c r="J1039" s="24"/>
      <c r="K1039" s="24"/>
    </row>
    <row r="1040" spans="6:11">
      <c r="F1040" s="24"/>
      <c r="G1040" s="24"/>
      <c r="H1040" s="24"/>
      <c r="I1040" s="24"/>
      <c r="J1040" s="24"/>
      <c r="K1040" s="24"/>
    </row>
    <row r="1041" spans="6:11">
      <c r="F1041" s="24"/>
      <c r="G1041" s="24"/>
      <c r="H1041" s="24"/>
      <c r="I1041" s="24"/>
      <c r="J1041" s="24"/>
      <c r="K1041" s="24"/>
    </row>
    <row r="1042" spans="6:11">
      <c r="F1042" s="24"/>
      <c r="G1042" s="24"/>
      <c r="H1042" s="24"/>
      <c r="I1042" s="24"/>
      <c r="J1042" s="24"/>
      <c r="K1042" s="24"/>
    </row>
    <row r="1043" spans="6:11">
      <c r="F1043" s="24"/>
      <c r="G1043" s="24"/>
      <c r="H1043" s="24"/>
      <c r="I1043" s="24"/>
      <c r="J1043" s="24"/>
      <c r="K1043" s="24"/>
    </row>
    <row r="1044" spans="6:11">
      <c r="F1044" s="24"/>
      <c r="G1044" s="24"/>
      <c r="H1044" s="24"/>
      <c r="I1044" s="24"/>
      <c r="J1044" s="24"/>
      <c r="K1044" s="24"/>
    </row>
    <row r="1045" spans="6:11">
      <c r="F1045" s="24"/>
      <c r="G1045" s="24"/>
      <c r="H1045" s="24"/>
      <c r="I1045" s="24"/>
      <c r="J1045" s="24"/>
      <c r="K1045" s="24"/>
    </row>
    <row r="1046" spans="6:11">
      <c r="F1046" s="24"/>
      <c r="G1046" s="24"/>
      <c r="H1046" s="24"/>
      <c r="I1046" s="24"/>
      <c r="J1046" s="24"/>
      <c r="K1046" s="24"/>
    </row>
    <row r="1047" spans="6:11">
      <c r="F1047" s="24"/>
      <c r="G1047" s="24"/>
      <c r="H1047" s="24"/>
      <c r="I1047" s="24"/>
      <c r="J1047" s="24"/>
      <c r="K1047" s="24"/>
    </row>
    <row r="1048" spans="6:11">
      <c r="F1048" s="24"/>
      <c r="G1048" s="24"/>
      <c r="H1048" s="24"/>
      <c r="I1048" s="24"/>
      <c r="J1048" s="24"/>
      <c r="K1048" s="24"/>
    </row>
    <row r="1049" spans="6:11">
      <c r="F1049" s="24"/>
      <c r="G1049" s="24"/>
      <c r="H1049" s="24"/>
      <c r="I1049" s="24"/>
      <c r="J1049" s="24"/>
      <c r="K1049" s="24"/>
    </row>
    <row r="1050" spans="6:11">
      <c r="F1050" s="24"/>
      <c r="G1050" s="24"/>
      <c r="H1050" s="24"/>
      <c r="I1050" s="24"/>
      <c r="J1050" s="24"/>
      <c r="K1050" s="24"/>
    </row>
    <row r="1051" spans="6:11">
      <c r="F1051" s="24"/>
      <c r="G1051" s="24"/>
      <c r="H1051" s="24"/>
      <c r="I1051" s="24"/>
      <c r="J1051" s="24"/>
      <c r="K1051" s="24"/>
    </row>
    <row r="1052" spans="6:11">
      <c r="F1052" s="24"/>
      <c r="G1052" s="24"/>
      <c r="H1052" s="24"/>
      <c r="I1052" s="24"/>
      <c r="J1052" s="24"/>
      <c r="K1052" s="24"/>
    </row>
    <row r="1053" spans="6:11">
      <c r="F1053" s="24"/>
      <c r="G1053" s="24"/>
      <c r="H1053" s="24"/>
      <c r="I1053" s="24"/>
      <c r="J1053" s="24"/>
      <c r="K1053" s="24"/>
    </row>
    <row r="1054" spans="6:11">
      <c r="F1054" s="24"/>
      <c r="G1054" s="24"/>
      <c r="H1054" s="24"/>
      <c r="I1054" s="24"/>
      <c r="J1054" s="24"/>
      <c r="K1054" s="24"/>
    </row>
    <row r="1055" spans="6:11">
      <c r="F1055" s="24"/>
      <c r="G1055" s="24"/>
      <c r="H1055" s="24"/>
      <c r="I1055" s="24"/>
      <c r="J1055" s="24"/>
      <c r="K1055" s="24"/>
    </row>
    <row r="1056" spans="6:11">
      <c r="F1056" s="24"/>
      <c r="G1056" s="24"/>
      <c r="H1056" s="24"/>
      <c r="I1056" s="24"/>
      <c r="J1056" s="24"/>
      <c r="K1056" s="24"/>
    </row>
    <row r="1057" spans="6:11">
      <c r="F1057" s="24"/>
      <c r="G1057" s="24"/>
      <c r="H1057" s="24"/>
      <c r="I1057" s="24"/>
      <c r="J1057" s="24"/>
      <c r="K1057" s="24"/>
    </row>
    <row r="1058" spans="6:11">
      <c r="F1058" s="24"/>
      <c r="G1058" s="24"/>
      <c r="H1058" s="24"/>
      <c r="I1058" s="24"/>
      <c r="J1058" s="24"/>
      <c r="K1058" s="24"/>
    </row>
    <row r="1059" spans="6:11">
      <c r="F1059" s="24"/>
      <c r="G1059" s="24"/>
      <c r="H1059" s="24"/>
      <c r="I1059" s="24"/>
      <c r="J1059" s="24"/>
      <c r="K1059" s="24"/>
    </row>
    <row r="1060" spans="6:11">
      <c r="F1060" s="24"/>
      <c r="G1060" s="24"/>
      <c r="H1060" s="24"/>
      <c r="I1060" s="24"/>
      <c r="J1060" s="24"/>
      <c r="K1060" s="24"/>
    </row>
    <row r="1061" spans="6:11">
      <c r="F1061" s="24"/>
      <c r="G1061" s="24"/>
      <c r="H1061" s="24"/>
      <c r="I1061" s="24"/>
      <c r="J1061" s="24"/>
      <c r="K1061" s="24"/>
    </row>
    <row r="1062" spans="6:11">
      <c r="F1062" s="24"/>
      <c r="G1062" s="24"/>
      <c r="H1062" s="24"/>
      <c r="I1062" s="24"/>
      <c r="J1062" s="24"/>
      <c r="K1062" s="24"/>
    </row>
    <row r="1063" spans="6:11">
      <c r="F1063" s="24"/>
      <c r="G1063" s="24"/>
      <c r="H1063" s="24"/>
      <c r="I1063" s="24"/>
      <c r="J1063" s="24"/>
      <c r="K1063" s="24"/>
    </row>
    <row r="1064" spans="6:11">
      <c r="F1064" s="24"/>
      <c r="G1064" s="24"/>
      <c r="H1064" s="24"/>
      <c r="I1064" s="24"/>
      <c r="J1064" s="24"/>
      <c r="K1064" s="24"/>
    </row>
    <row r="1065" spans="6:11">
      <c r="F1065" s="24"/>
      <c r="G1065" s="24"/>
      <c r="H1065" s="24"/>
      <c r="I1065" s="24"/>
      <c r="J1065" s="24"/>
      <c r="K1065" s="24"/>
    </row>
    <row r="1066" spans="6:11">
      <c r="F1066" s="24"/>
      <c r="G1066" s="24"/>
      <c r="H1066" s="24"/>
      <c r="I1066" s="24"/>
      <c r="J1066" s="24"/>
      <c r="K1066" s="24"/>
    </row>
    <row r="1067" spans="6:11">
      <c r="F1067" s="24"/>
      <c r="G1067" s="24"/>
      <c r="H1067" s="24"/>
      <c r="I1067" s="24"/>
      <c r="J1067" s="24"/>
      <c r="K1067" s="24"/>
    </row>
    <row r="1068" spans="6:11">
      <c r="F1068" s="24"/>
      <c r="G1068" s="24"/>
      <c r="H1068" s="24"/>
      <c r="I1068" s="24"/>
      <c r="J1068" s="24"/>
      <c r="K1068" s="24"/>
    </row>
    <row r="1069" spans="6:11">
      <c r="F1069" s="24"/>
      <c r="G1069" s="24"/>
      <c r="H1069" s="24"/>
      <c r="I1069" s="24"/>
      <c r="J1069" s="24"/>
      <c r="K1069" s="24"/>
    </row>
    <row r="1070" spans="6:11">
      <c r="F1070" s="24"/>
      <c r="G1070" s="24"/>
      <c r="H1070" s="24"/>
      <c r="I1070" s="24"/>
      <c r="J1070" s="24"/>
      <c r="K1070" s="24"/>
    </row>
    <row r="1071" spans="6:11">
      <c r="F1071" s="24"/>
      <c r="G1071" s="24"/>
      <c r="H1071" s="24"/>
      <c r="I1071" s="24"/>
      <c r="J1071" s="24"/>
      <c r="K1071" s="24"/>
    </row>
    <row r="1072" spans="6:11">
      <c r="F1072" s="24"/>
      <c r="G1072" s="24"/>
      <c r="H1072" s="24"/>
      <c r="I1072" s="24"/>
      <c r="J1072" s="24"/>
      <c r="K1072" s="24"/>
    </row>
    <row r="1073" spans="6:11">
      <c r="F1073" s="24"/>
      <c r="G1073" s="24"/>
      <c r="H1073" s="24"/>
      <c r="I1073" s="24"/>
      <c r="J1073" s="24"/>
      <c r="K1073" s="24"/>
    </row>
    <row r="1074" spans="6:11">
      <c r="F1074" s="24"/>
      <c r="G1074" s="24"/>
      <c r="H1074" s="24"/>
      <c r="I1074" s="24"/>
      <c r="J1074" s="24"/>
      <c r="K1074" s="24"/>
    </row>
    <row r="1075" spans="6:11">
      <c r="F1075" s="24"/>
      <c r="G1075" s="24"/>
      <c r="H1075" s="24"/>
      <c r="I1075" s="24"/>
      <c r="J1075" s="24"/>
      <c r="K1075" s="24"/>
    </row>
    <row r="1076" spans="6:11">
      <c r="F1076" s="24"/>
      <c r="G1076" s="24"/>
      <c r="H1076" s="24"/>
      <c r="I1076" s="24"/>
      <c r="J1076" s="24"/>
      <c r="K1076" s="24"/>
    </row>
    <row r="1077" spans="6:11">
      <c r="F1077" s="24"/>
      <c r="G1077" s="24"/>
      <c r="H1077" s="24"/>
      <c r="I1077" s="24"/>
      <c r="J1077" s="24"/>
      <c r="K1077" s="24"/>
    </row>
    <row r="1078" spans="6:11">
      <c r="F1078" s="24"/>
      <c r="G1078" s="24"/>
      <c r="H1078" s="24"/>
      <c r="I1078" s="24"/>
      <c r="J1078" s="24"/>
      <c r="K1078" s="24"/>
    </row>
    <row r="1079" spans="6:11">
      <c r="F1079" s="24"/>
      <c r="G1079" s="24"/>
      <c r="H1079" s="24"/>
      <c r="I1079" s="24"/>
      <c r="J1079" s="24"/>
      <c r="K1079" s="24"/>
    </row>
    <row r="1080" spans="6:11">
      <c r="F1080" s="24"/>
      <c r="G1080" s="24"/>
      <c r="H1080" s="24"/>
      <c r="I1080" s="24"/>
      <c r="J1080" s="24"/>
      <c r="K1080" s="24"/>
    </row>
    <row r="1081" spans="6:11">
      <c r="F1081" s="24"/>
      <c r="G1081" s="24"/>
      <c r="H1081" s="24"/>
      <c r="I1081" s="24"/>
      <c r="J1081" s="24"/>
      <c r="K1081" s="24"/>
    </row>
    <row r="1082" spans="6:11">
      <c r="F1082" s="24"/>
      <c r="G1082" s="24"/>
      <c r="H1082" s="24"/>
      <c r="I1082" s="24"/>
      <c r="J1082" s="24"/>
      <c r="K1082" s="24"/>
    </row>
    <row r="1083" spans="6:11">
      <c r="F1083" s="24"/>
      <c r="G1083" s="24"/>
      <c r="H1083" s="24"/>
      <c r="I1083" s="24"/>
      <c r="J1083" s="24"/>
      <c r="K1083" s="24"/>
    </row>
    <row r="1084" spans="6:11">
      <c r="F1084" s="24"/>
      <c r="G1084" s="24"/>
      <c r="H1084" s="24"/>
      <c r="I1084" s="24"/>
      <c r="J1084" s="24"/>
      <c r="K1084" s="24"/>
    </row>
    <row r="1085" spans="6:11">
      <c r="F1085" s="24"/>
      <c r="G1085" s="24"/>
      <c r="H1085" s="24"/>
      <c r="I1085" s="24"/>
      <c r="J1085" s="24"/>
      <c r="K1085" s="24"/>
    </row>
    <row r="1086" spans="6:11">
      <c r="F1086" s="24"/>
      <c r="G1086" s="24"/>
      <c r="H1086" s="24"/>
      <c r="I1086" s="24"/>
      <c r="J1086" s="24"/>
      <c r="K1086" s="24"/>
    </row>
    <row r="1087" spans="6:11">
      <c r="F1087" s="24"/>
      <c r="G1087" s="24"/>
      <c r="H1087" s="24"/>
      <c r="I1087" s="24"/>
      <c r="J1087" s="24"/>
      <c r="K1087" s="24"/>
    </row>
    <row r="1088" spans="6:11">
      <c r="F1088" s="24"/>
      <c r="G1088" s="24"/>
      <c r="H1088" s="24"/>
      <c r="I1088" s="24"/>
      <c r="J1088" s="24"/>
      <c r="K1088" s="24"/>
    </row>
    <row r="1089" spans="6:11">
      <c r="F1089" s="24"/>
      <c r="G1089" s="24"/>
      <c r="H1089" s="24"/>
      <c r="I1089" s="24"/>
      <c r="J1089" s="24"/>
      <c r="K1089" s="24"/>
    </row>
    <row r="1090" spans="6:11">
      <c r="F1090" s="24"/>
      <c r="G1090" s="24"/>
      <c r="H1090" s="24"/>
      <c r="I1090" s="24"/>
      <c r="J1090" s="24"/>
      <c r="K1090" s="24"/>
    </row>
    <row r="1091" spans="6:11">
      <c r="F1091" s="24"/>
      <c r="G1091" s="24"/>
      <c r="H1091" s="24"/>
      <c r="I1091" s="24"/>
      <c r="J1091" s="24"/>
      <c r="K1091" s="24"/>
    </row>
    <row r="1092" spans="6:11">
      <c r="F1092" s="24"/>
      <c r="G1092" s="24"/>
      <c r="H1092" s="24"/>
      <c r="I1092" s="24"/>
      <c r="J1092" s="24"/>
      <c r="K1092" s="24"/>
    </row>
    <row r="1093" spans="6:11">
      <c r="F1093" s="24"/>
      <c r="G1093" s="24"/>
      <c r="H1093" s="24"/>
      <c r="I1093" s="24"/>
      <c r="J1093" s="24"/>
      <c r="K1093" s="24"/>
    </row>
    <row r="1094" spans="6:11">
      <c r="F1094" s="24"/>
      <c r="G1094" s="24"/>
      <c r="H1094" s="24"/>
      <c r="I1094" s="24"/>
      <c r="J1094" s="24"/>
      <c r="K1094" s="24"/>
    </row>
    <row r="1095" spans="6:11">
      <c r="F1095" s="24"/>
      <c r="G1095" s="24"/>
      <c r="H1095" s="24"/>
      <c r="I1095" s="24"/>
      <c r="J1095" s="24"/>
      <c r="K1095" s="24"/>
    </row>
    <row r="1096" spans="6:11">
      <c r="F1096" s="24"/>
      <c r="G1096" s="24"/>
      <c r="H1096" s="24"/>
      <c r="I1096" s="24"/>
      <c r="J1096" s="24"/>
      <c r="K1096" s="24"/>
    </row>
    <row r="1097" spans="6:11">
      <c r="F1097" s="24"/>
      <c r="G1097" s="24"/>
      <c r="H1097" s="24"/>
      <c r="I1097" s="24"/>
      <c r="J1097" s="24"/>
      <c r="K1097" s="24"/>
    </row>
    <row r="1098" spans="6:11">
      <c r="F1098" s="24"/>
      <c r="G1098" s="24"/>
      <c r="H1098" s="24"/>
      <c r="I1098" s="24"/>
      <c r="J1098" s="24"/>
      <c r="K1098" s="24"/>
    </row>
    <row r="1099" spans="6:11">
      <c r="F1099" s="24"/>
      <c r="G1099" s="24"/>
      <c r="H1099" s="24"/>
      <c r="I1099" s="24"/>
      <c r="J1099" s="24"/>
      <c r="K1099" s="24"/>
    </row>
    <row r="1100" spans="6:11">
      <c r="F1100" s="24"/>
      <c r="G1100" s="24"/>
      <c r="H1100" s="24"/>
      <c r="I1100" s="24"/>
      <c r="J1100" s="24"/>
      <c r="K1100" s="24"/>
    </row>
    <row r="1101" spans="6:11">
      <c r="F1101" s="24"/>
      <c r="G1101" s="24"/>
      <c r="H1101" s="24"/>
      <c r="I1101" s="24"/>
      <c r="J1101" s="24"/>
      <c r="K1101" s="24"/>
    </row>
    <row r="1102" spans="6:11">
      <c r="F1102" s="24"/>
      <c r="G1102" s="24"/>
      <c r="H1102" s="24"/>
      <c r="I1102" s="24"/>
      <c r="J1102" s="24"/>
      <c r="K1102" s="24"/>
    </row>
    <row r="1103" spans="6:11">
      <c r="F1103" s="24"/>
      <c r="G1103" s="24"/>
      <c r="H1103" s="24"/>
      <c r="I1103" s="24"/>
      <c r="J1103" s="24"/>
      <c r="K1103" s="24"/>
    </row>
    <row r="1104" spans="6:11">
      <c r="F1104" s="24"/>
      <c r="G1104" s="24"/>
      <c r="H1104" s="24"/>
      <c r="I1104" s="24"/>
      <c r="J1104" s="24"/>
      <c r="K1104" s="24"/>
    </row>
    <row r="1105" spans="6:11">
      <c r="F1105" s="24"/>
      <c r="G1105" s="24"/>
      <c r="H1105" s="24"/>
      <c r="I1105" s="24"/>
      <c r="J1105" s="24"/>
      <c r="K1105" s="24"/>
    </row>
    <row r="1106" spans="6:11">
      <c r="F1106" s="24"/>
      <c r="G1106" s="24"/>
      <c r="H1106" s="24"/>
      <c r="I1106" s="24"/>
      <c r="J1106" s="24"/>
      <c r="K1106" s="24"/>
    </row>
    <row r="1107" spans="6:11">
      <c r="F1107" s="24"/>
      <c r="G1107" s="24"/>
      <c r="H1107" s="24"/>
      <c r="I1107" s="24"/>
      <c r="J1107" s="24"/>
      <c r="K1107" s="24"/>
    </row>
    <row r="1108" spans="6:11">
      <c r="F1108" s="24"/>
      <c r="G1108" s="24"/>
      <c r="H1108" s="24"/>
      <c r="I1108" s="24"/>
      <c r="J1108" s="24"/>
      <c r="K1108" s="24"/>
    </row>
    <row r="1109" spans="6:11">
      <c r="F1109" s="24"/>
      <c r="G1109" s="24"/>
      <c r="H1109" s="24"/>
      <c r="I1109" s="24"/>
      <c r="J1109" s="24"/>
      <c r="K1109" s="24"/>
    </row>
    <row r="1110" spans="6:11">
      <c r="F1110" s="24"/>
      <c r="G1110" s="24"/>
      <c r="H1110" s="24"/>
      <c r="I1110" s="24"/>
      <c r="J1110" s="24"/>
      <c r="K1110" s="24"/>
    </row>
    <row r="1111" spans="6:11">
      <c r="F1111" s="24"/>
      <c r="G1111" s="24"/>
      <c r="H1111" s="24"/>
      <c r="I1111" s="24"/>
      <c r="J1111" s="24"/>
      <c r="K1111" s="24"/>
    </row>
    <row r="1112" spans="6:11">
      <c r="F1112" s="24"/>
      <c r="G1112" s="24"/>
      <c r="H1112" s="24"/>
      <c r="I1112" s="24"/>
      <c r="J1112" s="24"/>
      <c r="K1112" s="24"/>
    </row>
    <row r="1113" spans="6:11">
      <c r="F1113" s="24"/>
      <c r="G1113" s="24"/>
      <c r="H1113" s="24"/>
      <c r="I1113" s="24"/>
      <c r="J1113" s="24"/>
      <c r="K1113" s="24"/>
    </row>
    <row r="1114" spans="6:11">
      <c r="F1114" s="24"/>
      <c r="G1114" s="24"/>
      <c r="H1114" s="24"/>
      <c r="I1114" s="24"/>
      <c r="J1114" s="24"/>
      <c r="K1114" s="24"/>
    </row>
    <row r="1115" spans="6:11">
      <c r="F1115" s="24"/>
      <c r="G1115" s="24"/>
      <c r="H1115" s="24"/>
      <c r="I1115" s="24"/>
      <c r="J1115" s="24"/>
      <c r="K1115" s="24"/>
    </row>
    <row r="1116" spans="6:11">
      <c r="F1116" s="24"/>
      <c r="G1116" s="24"/>
      <c r="H1116" s="24"/>
      <c r="I1116" s="24"/>
      <c r="J1116" s="24"/>
      <c r="K1116" s="24"/>
    </row>
    <row r="1117" spans="6:11">
      <c r="F1117" s="24"/>
      <c r="G1117" s="24"/>
      <c r="H1117" s="24"/>
      <c r="I1117" s="24"/>
      <c r="J1117" s="24"/>
      <c r="K1117" s="24"/>
    </row>
    <row r="1118" spans="6:11">
      <c r="F1118" s="24"/>
      <c r="G1118" s="24"/>
      <c r="H1118" s="24"/>
      <c r="I1118" s="24"/>
      <c r="J1118" s="24"/>
      <c r="K1118" s="24"/>
    </row>
    <row r="1119" spans="6:11">
      <c r="F1119" s="24"/>
      <c r="G1119" s="24"/>
      <c r="H1119" s="24"/>
      <c r="I1119" s="24"/>
      <c r="J1119" s="24"/>
      <c r="K1119" s="24"/>
    </row>
    <row r="1120" spans="6:11">
      <c r="F1120" s="24"/>
      <c r="G1120" s="24"/>
      <c r="H1120" s="24"/>
      <c r="I1120" s="24"/>
      <c r="J1120" s="24"/>
      <c r="K1120" s="24"/>
    </row>
    <row r="1121" spans="6:11">
      <c r="F1121" s="24"/>
      <c r="G1121" s="24"/>
      <c r="H1121" s="24"/>
      <c r="I1121" s="24"/>
      <c r="J1121" s="24"/>
      <c r="K1121" s="24"/>
    </row>
    <row r="1122" spans="6:11">
      <c r="F1122" s="24"/>
      <c r="G1122" s="24"/>
      <c r="H1122" s="24"/>
      <c r="I1122" s="24"/>
      <c r="J1122" s="24"/>
      <c r="K1122" s="24"/>
    </row>
    <row r="1123" spans="6:11">
      <c r="F1123" s="24"/>
      <c r="G1123" s="24"/>
      <c r="H1123" s="24"/>
      <c r="I1123" s="24"/>
      <c r="J1123" s="24"/>
      <c r="K1123" s="24"/>
    </row>
    <row r="1124" spans="6:11">
      <c r="F1124" s="24"/>
      <c r="G1124" s="24"/>
      <c r="H1124" s="24"/>
      <c r="I1124" s="24"/>
      <c r="J1124" s="24"/>
      <c r="K1124" s="24"/>
    </row>
    <row r="1125" spans="6:11">
      <c r="F1125" s="24"/>
      <c r="G1125" s="24"/>
      <c r="H1125" s="24"/>
      <c r="I1125" s="24"/>
      <c r="J1125" s="24"/>
      <c r="K1125" s="24"/>
    </row>
    <row r="1126" spans="6:11">
      <c r="F1126" s="24"/>
      <c r="G1126" s="24"/>
      <c r="H1126" s="24"/>
      <c r="I1126" s="24"/>
      <c r="J1126" s="24"/>
      <c r="K1126" s="24"/>
    </row>
    <row r="1127" spans="6:11">
      <c r="F1127" s="24"/>
      <c r="G1127" s="24"/>
      <c r="H1127" s="24"/>
      <c r="I1127" s="24"/>
      <c r="J1127" s="24"/>
      <c r="K1127" s="24"/>
    </row>
    <row r="1128" spans="6:11">
      <c r="F1128" s="24"/>
      <c r="G1128" s="24"/>
      <c r="H1128" s="24"/>
      <c r="I1128" s="24"/>
      <c r="J1128" s="24"/>
      <c r="K1128" s="24"/>
    </row>
    <row r="1129" spans="6:11">
      <c r="F1129" s="24"/>
      <c r="G1129" s="24"/>
      <c r="H1129" s="24"/>
      <c r="I1129" s="24"/>
      <c r="J1129" s="24"/>
      <c r="K1129" s="24"/>
    </row>
    <row r="1130" spans="6:11">
      <c r="F1130" s="24"/>
      <c r="G1130" s="24"/>
      <c r="H1130" s="24"/>
      <c r="I1130" s="24"/>
      <c r="J1130" s="24"/>
      <c r="K1130" s="24"/>
    </row>
    <row r="1131" spans="6:11">
      <c r="F1131" s="24"/>
      <c r="G1131" s="24"/>
      <c r="H1131" s="24"/>
      <c r="I1131" s="24"/>
      <c r="J1131" s="24"/>
      <c r="K1131" s="24"/>
    </row>
    <row r="1132" spans="6:11">
      <c r="F1132" s="24"/>
      <c r="G1132" s="24"/>
      <c r="H1132" s="24"/>
      <c r="I1132" s="24"/>
      <c r="J1132" s="24"/>
      <c r="K1132" s="24"/>
    </row>
    <row r="1133" spans="6:11">
      <c r="F1133" s="24"/>
      <c r="G1133" s="24"/>
      <c r="H1133" s="24"/>
      <c r="I1133" s="24"/>
      <c r="J1133" s="24"/>
      <c r="K1133" s="24"/>
    </row>
    <row r="1134" spans="6:11">
      <c r="F1134" s="24"/>
      <c r="G1134" s="24"/>
      <c r="H1134" s="24"/>
      <c r="I1134" s="24"/>
      <c r="J1134" s="24"/>
      <c r="K1134" s="24"/>
    </row>
    <row r="1135" spans="6:11">
      <c r="F1135" s="24"/>
      <c r="G1135" s="24"/>
      <c r="H1135" s="24"/>
      <c r="I1135" s="24"/>
      <c r="J1135" s="24"/>
      <c r="K1135" s="24"/>
    </row>
    <row r="1136" spans="6:11">
      <c r="F1136" s="24"/>
      <c r="G1136" s="24"/>
      <c r="H1136" s="24"/>
      <c r="I1136" s="24"/>
      <c r="J1136" s="24"/>
      <c r="K1136" s="24"/>
    </row>
    <row r="1137" spans="6:11">
      <c r="F1137" s="24"/>
      <c r="G1137" s="24"/>
      <c r="H1137" s="24"/>
      <c r="I1137" s="24"/>
      <c r="J1137" s="24"/>
      <c r="K1137" s="24"/>
    </row>
    <row r="1138" spans="6:11">
      <c r="F1138" s="24"/>
      <c r="G1138" s="24"/>
      <c r="H1138" s="24"/>
      <c r="I1138" s="24"/>
      <c r="J1138" s="24"/>
      <c r="K1138" s="24"/>
    </row>
    <row r="1139" spans="6:11">
      <c r="F1139" s="24"/>
      <c r="G1139" s="24"/>
      <c r="H1139" s="24"/>
      <c r="I1139" s="24"/>
      <c r="J1139" s="24"/>
      <c r="K1139" s="24"/>
    </row>
    <row r="1140" spans="6:11">
      <c r="F1140" s="24"/>
      <c r="G1140" s="24"/>
      <c r="H1140" s="24"/>
      <c r="I1140" s="24"/>
      <c r="J1140" s="24"/>
      <c r="K1140" s="24"/>
    </row>
    <row r="1141" spans="6:11">
      <c r="F1141" s="24"/>
      <c r="G1141" s="24"/>
      <c r="H1141" s="24"/>
      <c r="I1141" s="24"/>
      <c r="J1141" s="24"/>
      <c r="K1141" s="24"/>
    </row>
    <row r="1142" spans="6:11">
      <c r="F1142" s="24"/>
      <c r="G1142" s="24"/>
      <c r="H1142" s="24"/>
      <c r="I1142" s="24"/>
      <c r="J1142" s="24"/>
      <c r="K1142" s="24"/>
    </row>
    <row r="1143" spans="6:11">
      <c r="F1143" s="24"/>
      <c r="G1143" s="24"/>
      <c r="H1143" s="24"/>
      <c r="I1143" s="24"/>
      <c r="J1143" s="24"/>
      <c r="K1143" s="24"/>
    </row>
    <row r="1144" spans="6:11">
      <c r="F1144" s="24"/>
      <c r="G1144" s="24"/>
      <c r="H1144" s="24"/>
      <c r="I1144" s="24"/>
      <c r="J1144" s="24"/>
      <c r="K1144" s="24"/>
    </row>
    <row r="1145" spans="6:11">
      <c r="F1145" s="24"/>
      <c r="G1145" s="24"/>
      <c r="H1145" s="24"/>
      <c r="I1145" s="24"/>
      <c r="J1145" s="24"/>
      <c r="K1145" s="24"/>
    </row>
    <row r="1146" spans="6:11">
      <c r="F1146" s="24"/>
      <c r="G1146" s="24"/>
      <c r="H1146" s="24"/>
      <c r="I1146" s="24"/>
      <c r="J1146" s="24"/>
      <c r="K1146" s="24"/>
    </row>
    <row r="1147" spans="6:11">
      <c r="F1147" s="24"/>
      <c r="G1147" s="24"/>
      <c r="H1147" s="24"/>
      <c r="I1147" s="24"/>
      <c r="J1147" s="24"/>
      <c r="K1147" s="24"/>
    </row>
    <row r="1148" spans="6:11">
      <c r="F1148" s="24"/>
      <c r="G1148" s="24"/>
      <c r="H1148" s="24"/>
      <c r="I1148" s="24"/>
      <c r="J1148" s="24"/>
      <c r="K1148" s="24"/>
    </row>
    <row r="1149" spans="6:11">
      <c r="F1149" s="24"/>
      <c r="G1149" s="24"/>
      <c r="H1149" s="24"/>
      <c r="I1149" s="24"/>
      <c r="J1149" s="24"/>
      <c r="K1149" s="24"/>
    </row>
    <row r="1150" spans="6:11">
      <c r="F1150" s="24"/>
      <c r="G1150" s="24"/>
      <c r="H1150" s="24"/>
      <c r="I1150" s="24"/>
      <c r="J1150" s="24"/>
      <c r="K1150" s="24"/>
    </row>
    <row r="1151" spans="6:11">
      <c r="F1151" s="24"/>
      <c r="G1151" s="24"/>
      <c r="H1151" s="24"/>
      <c r="I1151" s="24"/>
      <c r="J1151" s="24"/>
      <c r="K1151" s="24"/>
    </row>
    <row r="1152" spans="6:11">
      <c r="F1152" s="24"/>
      <c r="G1152" s="24"/>
      <c r="H1152" s="24"/>
      <c r="I1152" s="24"/>
      <c r="J1152" s="24"/>
      <c r="K1152" s="24"/>
    </row>
    <row r="1153" spans="6:11">
      <c r="F1153" s="24"/>
      <c r="G1153" s="24"/>
      <c r="H1153" s="24"/>
      <c r="I1153" s="24"/>
      <c r="J1153" s="24"/>
      <c r="K1153" s="24"/>
    </row>
    <row r="1154" spans="6:11">
      <c r="F1154" s="24"/>
      <c r="G1154" s="24"/>
      <c r="H1154" s="24"/>
      <c r="I1154" s="24"/>
      <c r="J1154" s="24"/>
      <c r="K1154" s="24"/>
    </row>
    <row r="1155" spans="6:11">
      <c r="F1155" s="24"/>
      <c r="G1155" s="24"/>
      <c r="H1155" s="24"/>
      <c r="I1155" s="24"/>
      <c r="J1155" s="24"/>
      <c r="K1155" s="24"/>
    </row>
    <row r="1156" spans="6:11">
      <c r="F1156" s="24"/>
      <c r="G1156" s="24"/>
      <c r="H1156" s="24"/>
      <c r="I1156" s="24"/>
      <c r="J1156" s="24"/>
      <c r="K1156" s="24"/>
    </row>
    <row r="1157" spans="6:11">
      <c r="F1157" s="24"/>
      <c r="G1157" s="24"/>
      <c r="H1157" s="24"/>
      <c r="I1157" s="24"/>
      <c r="J1157" s="24"/>
      <c r="K1157" s="24"/>
    </row>
    <row r="1158" spans="6:11">
      <c r="F1158" s="24"/>
      <c r="G1158" s="24"/>
      <c r="H1158" s="24"/>
      <c r="I1158" s="24"/>
      <c r="J1158" s="24"/>
      <c r="K1158" s="24"/>
    </row>
    <row r="1159" spans="6:11">
      <c r="F1159" s="24"/>
      <c r="G1159" s="24"/>
      <c r="H1159" s="24"/>
      <c r="I1159" s="24"/>
      <c r="J1159" s="24"/>
      <c r="K1159" s="24"/>
    </row>
    <row r="1160" spans="6:11">
      <c r="F1160" s="24"/>
      <c r="G1160" s="24"/>
      <c r="H1160" s="24"/>
      <c r="I1160" s="24"/>
      <c r="J1160" s="24"/>
      <c r="K1160" s="24"/>
    </row>
    <row r="1161" spans="6:11">
      <c r="F1161" s="24"/>
      <c r="G1161" s="24"/>
      <c r="H1161" s="24"/>
      <c r="I1161" s="24"/>
      <c r="J1161" s="24"/>
      <c r="K1161" s="24"/>
    </row>
    <row r="1162" spans="6:11">
      <c r="F1162" s="24"/>
      <c r="G1162" s="24"/>
      <c r="H1162" s="24"/>
      <c r="I1162" s="24"/>
      <c r="J1162" s="24"/>
      <c r="K1162" s="24"/>
    </row>
    <row r="1163" spans="6:11">
      <c r="F1163" s="24"/>
      <c r="G1163" s="24"/>
      <c r="H1163" s="24"/>
      <c r="I1163" s="24"/>
      <c r="J1163" s="24"/>
      <c r="K1163" s="24"/>
    </row>
    <row r="1164" spans="6:11">
      <c r="F1164" s="24"/>
      <c r="G1164" s="24"/>
      <c r="H1164" s="24"/>
      <c r="I1164" s="24"/>
      <c r="J1164" s="24"/>
      <c r="K1164" s="24"/>
    </row>
    <row r="1165" spans="6:11">
      <c r="F1165" s="24"/>
      <c r="G1165" s="24"/>
      <c r="H1165" s="24"/>
      <c r="I1165" s="24"/>
      <c r="J1165" s="24"/>
      <c r="K1165" s="24"/>
    </row>
    <row r="1166" spans="6:11">
      <c r="F1166" s="24"/>
      <c r="G1166" s="24"/>
      <c r="H1166" s="24"/>
      <c r="I1166" s="24"/>
      <c r="J1166" s="24"/>
      <c r="K1166" s="24"/>
    </row>
    <row r="1167" spans="6:11">
      <c r="F1167" s="24"/>
      <c r="G1167" s="24"/>
      <c r="H1167" s="24"/>
      <c r="I1167" s="24"/>
      <c r="J1167" s="24"/>
      <c r="K1167" s="24"/>
    </row>
    <row r="1168" spans="6:11">
      <c r="F1168" s="24"/>
      <c r="G1168" s="24"/>
      <c r="H1168" s="24"/>
      <c r="I1168" s="24"/>
      <c r="J1168" s="24"/>
      <c r="K1168" s="24"/>
    </row>
    <row r="1169" spans="6:11">
      <c r="F1169" s="24"/>
      <c r="G1169" s="24"/>
      <c r="H1169" s="24"/>
      <c r="I1169" s="24"/>
      <c r="J1169" s="24"/>
      <c r="K1169" s="24"/>
    </row>
    <row r="1170" spans="6:11">
      <c r="F1170" s="24"/>
      <c r="G1170" s="24"/>
      <c r="H1170" s="24"/>
      <c r="I1170" s="24"/>
      <c r="J1170" s="24"/>
      <c r="K1170" s="24"/>
    </row>
    <row r="1171" spans="6:11">
      <c r="F1171" s="24"/>
      <c r="G1171" s="24"/>
      <c r="H1171" s="24"/>
      <c r="I1171" s="24"/>
      <c r="J1171" s="24"/>
      <c r="K1171" s="24"/>
    </row>
    <row r="1172" spans="6:11">
      <c r="F1172" s="24"/>
      <c r="G1172" s="24"/>
      <c r="H1172" s="24"/>
      <c r="I1172" s="24"/>
      <c r="J1172" s="24"/>
      <c r="K1172" s="24"/>
    </row>
    <row r="1173" spans="6:11">
      <c r="F1173" s="24"/>
      <c r="G1173" s="24"/>
      <c r="H1173" s="24"/>
      <c r="I1173" s="24"/>
      <c r="J1173" s="24"/>
      <c r="K1173" s="24"/>
    </row>
    <row r="1174" spans="6:11">
      <c r="F1174" s="24"/>
      <c r="G1174" s="24"/>
      <c r="H1174" s="24"/>
      <c r="I1174" s="24"/>
      <c r="J1174" s="24"/>
      <c r="K1174" s="24"/>
    </row>
    <row r="1175" spans="6:11">
      <c r="F1175" s="24"/>
      <c r="G1175" s="24"/>
      <c r="H1175" s="24"/>
      <c r="I1175" s="24"/>
      <c r="J1175" s="24"/>
      <c r="K1175" s="24"/>
    </row>
    <row r="1176" spans="6:11">
      <c r="F1176" s="24"/>
      <c r="G1176" s="24"/>
      <c r="H1176" s="24"/>
      <c r="I1176" s="24"/>
      <c r="J1176" s="24"/>
      <c r="K1176" s="24"/>
    </row>
    <row r="1177" spans="6:11">
      <c r="F1177" s="24"/>
      <c r="G1177" s="24"/>
      <c r="H1177" s="24"/>
      <c r="I1177" s="24"/>
      <c r="J1177" s="24"/>
      <c r="K1177" s="24"/>
    </row>
    <row r="1178" spans="6:11">
      <c r="F1178" s="24"/>
      <c r="G1178" s="24"/>
      <c r="H1178" s="24"/>
      <c r="I1178" s="24"/>
      <c r="J1178" s="24"/>
      <c r="K1178" s="24"/>
    </row>
    <row r="1179" spans="6:11">
      <c r="F1179" s="24"/>
      <c r="G1179" s="24"/>
      <c r="H1179" s="24"/>
      <c r="I1179" s="24"/>
      <c r="J1179" s="24"/>
      <c r="K1179" s="24"/>
    </row>
    <row r="1180" spans="6:11">
      <c r="F1180" s="24"/>
      <c r="G1180" s="24"/>
      <c r="H1180" s="24"/>
      <c r="I1180" s="24"/>
      <c r="J1180" s="24"/>
      <c r="K1180" s="24"/>
    </row>
    <row r="1181" spans="6:11">
      <c r="F1181" s="24"/>
      <c r="G1181" s="24"/>
      <c r="H1181" s="24"/>
      <c r="I1181" s="24"/>
      <c r="J1181" s="24"/>
      <c r="K1181" s="24"/>
    </row>
    <row r="1182" spans="6:11">
      <c r="F1182" s="24"/>
      <c r="G1182" s="24"/>
      <c r="H1182" s="24"/>
      <c r="I1182" s="24"/>
      <c r="J1182" s="24"/>
      <c r="K1182" s="24"/>
    </row>
    <row r="1183" spans="6:11">
      <c r="F1183" s="24"/>
      <c r="G1183" s="24"/>
      <c r="H1183" s="24"/>
      <c r="I1183" s="24"/>
      <c r="J1183" s="24"/>
      <c r="K1183" s="24"/>
    </row>
    <row r="1184" spans="6:11">
      <c r="F1184" s="24"/>
      <c r="G1184" s="24"/>
      <c r="H1184" s="24"/>
      <c r="I1184" s="24"/>
      <c r="J1184" s="24"/>
      <c r="K1184" s="24"/>
    </row>
    <row r="1185" spans="6:11">
      <c r="F1185" s="24"/>
      <c r="G1185" s="24"/>
      <c r="H1185" s="24"/>
      <c r="I1185" s="24"/>
      <c r="J1185" s="24"/>
      <c r="K1185" s="24"/>
    </row>
    <row r="1186" spans="6:11">
      <c r="F1186" s="24"/>
      <c r="G1186" s="24"/>
      <c r="H1186" s="24"/>
      <c r="I1186" s="24"/>
      <c r="J1186" s="24"/>
      <c r="K1186" s="24"/>
    </row>
    <row r="1187" spans="6:11">
      <c r="F1187" s="24"/>
      <c r="G1187" s="24"/>
      <c r="H1187" s="24"/>
      <c r="I1187" s="24"/>
      <c r="J1187" s="24"/>
      <c r="K1187" s="24"/>
    </row>
    <row r="1188" spans="6:11">
      <c r="F1188" s="24"/>
      <c r="G1188" s="24"/>
      <c r="H1188" s="24"/>
      <c r="I1188" s="24"/>
      <c r="J1188" s="24"/>
      <c r="K1188" s="24"/>
    </row>
    <row r="1189" spans="6:11">
      <c r="F1189" s="24"/>
      <c r="G1189" s="24"/>
      <c r="H1189" s="24"/>
      <c r="I1189" s="24"/>
      <c r="J1189" s="24"/>
      <c r="K1189" s="24"/>
    </row>
    <row r="1190" spans="6:11">
      <c r="F1190" s="24"/>
      <c r="G1190" s="24"/>
      <c r="H1190" s="24"/>
      <c r="I1190" s="24"/>
      <c r="J1190" s="24"/>
      <c r="K1190" s="24"/>
    </row>
    <row r="1191" spans="6:11">
      <c r="F1191" s="24"/>
      <c r="G1191" s="24"/>
      <c r="H1191" s="24"/>
      <c r="I1191" s="24"/>
      <c r="J1191" s="24"/>
      <c r="K1191" s="24"/>
    </row>
    <row r="1192" spans="6:11">
      <c r="F1192" s="24"/>
      <c r="G1192" s="24"/>
      <c r="H1192" s="24"/>
      <c r="I1192" s="24"/>
      <c r="J1192" s="24"/>
      <c r="K1192" s="24"/>
    </row>
    <row r="1193" spans="6:11">
      <c r="F1193" s="24"/>
      <c r="G1193" s="24"/>
      <c r="H1193" s="24"/>
      <c r="I1193" s="24"/>
      <c r="J1193" s="24"/>
      <c r="K1193" s="24"/>
    </row>
    <row r="1194" spans="6:11">
      <c r="F1194" s="24"/>
      <c r="G1194" s="24"/>
      <c r="H1194" s="24"/>
      <c r="I1194" s="24"/>
      <c r="J1194" s="24"/>
      <c r="K1194" s="24"/>
    </row>
    <row r="1195" spans="6:11">
      <c r="F1195" s="24"/>
      <c r="G1195" s="24"/>
      <c r="H1195" s="24"/>
      <c r="I1195" s="24"/>
      <c r="J1195" s="24"/>
      <c r="K1195" s="24"/>
    </row>
    <row r="1196" spans="6:11">
      <c r="F1196" s="24"/>
      <c r="G1196" s="24"/>
      <c r="H1196" s="24"/>
      <c r="I1196" s="24"/>
      <c r="J1196" s="24"/>
      <c r="K1196" s="24"/>
    </row>
    <row r="1197" spans="6:11">
      <c r="F1197" s="24"/>
      <c r="G1197" s="24"/>
      <c r="H1197" s="24"/>
      <c r="I1197" s="24"/>
      <c r="J1197" s="24"/>
      <c r="K1197" s="24"/>
    </row>
    <row r="1198" spans="6:11">
      <c r="F1198" s="24"/>
      <c r="G1198" s="24"/>
      <c r="H1198" s="24"/>
      <c r="I1198" s="24"/>
      <c r="J1198" s="24"/>
      <c r="K1198" s="24"/>
    </row>
    <row r="1199" spans="6:11">
      <c r="F1199" s="24"/>
      <c r="G1199" s="24"/>
      <c r="H1199" s="24"/>
      <c r="I1199" s="24"/>
      <c r="J1199" s="24"/>
      <c r="K1199" s="24"/>
    </row>
    <row r="1200" spans="6:11">
      <c r="F1200" s="24"/>
      <c r="G1200" s="24"/>
      <c r="H1200" s="24"/>
      <c r="I1200" s="24"/>
      <c r="J1200" s="24"/>
      <c r="K1200" s="24"/>
    </row>
    <row r="1201" spans="6:11">
      <c r="F1201" s="24"/>
      <c r="G1201" s="24"/>
      <c r="H1201" s="24"/>
      <c r="I1201" s="24"/>
      <c r="J1201" s="24"/>
      <c r="K1201" s="24"/>
    </row>
    <row r="1202" spans="6:11">
      <c r="F1202" s="24"/>
      <c r="G1202" s="24"/>
      <c r="H1202" s="24"/>
      <c r="I1202" s="24"/>
      <c r="J1202" s="24"/>
      <c r="K1202" s="24"/>
    </row>
    <row r="1203" spans="6:11">
      <c r="F1203" s="24"/>
      <c r="G1203" s="24"/>
      <c r="H1203" s="24"/>
      <c r="I1203" s="24"/>
      <c r="J1203" s="24"/>
      <c r="K1203" s="24"/>
    </row>
    <row r="1204" spans="6:11">
      <c r="F1204" s="24"/>
      <c r="G1204" s="24"/>
      <c r="H1204" s="24"/>
      <c r="I1204" s="24"/>
      <c r="J1204" s="24"/>
      <c r="K1204" s="24"/>
    </row>
    <row r="1205" spans="6:11">
      <c r="F1205" s="24"/>
      <c r="G1205" s="24"/>
      <c r="H1205" s="24"/>
      <c r="I1205" s="24"/>
      <c r="J1205" s="24"/>
      <c r="K1205" s="24"/>
    </row>
    <row r="1206" spans="6:11">
      <c r="F1206" s="24"/>
      <c r="G1206" s="24"/>
      <c r="H1206" s="24"/>
      <c r="I1206" s="24"/>
      <c r="J1206" s="24"/>
      <c r="K1206" s="24"/>
    </row>
    <row r="1207" spans="6:11">
      <c r="F1207" s="24"/>
      <c r="G1207" s="24"/>
      <c r="H1207" s="24"/>
      <c r="I1207" s="24"/>
      <c r="J1207" s="24"/>
      <c r="K1207" s="24"/>
    </row>
    <row r="1208" spans="6:11">
      <c r="F1208" s="24"/>
      <c r="G1208" s="24"/>
      <c r="H1208" s="24"/>
      <c r="I1208" s="24"/>
      <c r="J1208" s="24"/>
      <c r="K1208" s="24"/>
    </row>
    <row r="1209" spans="6:11">
      <c r="F1209" s="24"/>
      <c r="G1209" s="24"/>
      <c r="H1209" s="24"/>
      <c r="I1209" s="24"/>
      <c r="J1209" s="24"/>
      <c r="K1209" s="24"/>
    </row>
    <row r="1210" spans="6:11">
      <c r="F1210" s="24"/>
      <c r="G1210" s="24"/>
      <c r="H1210" s="24"/>
      <c r="I1210" s="24"/>
      <c r="J1210" s="24"/>
      <c r="K1210" s="24"/>
    </row>
    <row r="1211" spans="6:11">
      <c r="F1211" s="24"/>
      <c r="G1211" s="24"/>
      <c r="H1211" s="24"/>
      <c r="I1211" s="24"/>
      <c r="J1211" s="24"/>
      <c r="K1211" s="24"/>
    </row>
    <row r="1212" spans="6:11">
      <c r="F1212" s="24"/>
      <c r="G1212" s="24"/>
      <c r="H1212" s="24"/>
      <c r="I1212" s="24"/>
      <c r="J1212" s="24"/>
      <c r="K1212" s="24"/>
    </row>
    <row r="1213" spans="6:11">
      <c r="F1213" s="24"/>
      <c r="G1213" s="24"/>
      <c r="H1213" s="24"/>
      <c r="I1213" s="24"/>
      <c r="J1213" s="24"/>
      <c r="K1213" s="24"/>
    </row>
    <row r="1214" spans="6:11">
      <c r="F1214" s="24"/>
      <c r="G1214" s="24"/>
      <c r="H1214" s="24"/>
      <c r="I1214" s="24"/>
      <c r="J1214" s="24"/>
      <c r="K1214" s="24"/>
    </row>
    <row r="1215" spans="6:11">
      <c r="F1215" s="24"/>
      <c r="G1215" s="24"/>
      <c r="H1215" s="24"/>
      <c r="I1215" s="24"/>
      <c r="J1215" s="24"/>
      <c r="K1215" s="24"/>
    </row>
    <row r="1216" spans="6:11">
      <c r="F1216" s="24"/>
      <c r="G1216" s="24"/>
      <c r="H1216" s="24"/>
      <c r="I1216" s="24"/>
      <c r="J1216" s="24"/>
      <c r="K1216" s="24"/>
    </row>
    <row r="1217" spans="6:11">
      <c r="F1217" s="24"/>
      <c r="G1217" s="24"/>
      <c r="H1217" s="24"/>
      <c r="I1217" s="24"/>
      <c r="J1217" s="24"/>
      <c r="K1217" s="24"/>
    </row>
    <row r="1218" spans="6:11">
      <c r="F1218" s="24"/>
      <c r="G1218" s="24"/>
      <c r="H1218" s="24"/>
      <c r="I1218" s="24"/>
      <c r="J1218" s="24"/>
      <c r="K1218" s="24"/>
    </row>
    <row r="1219" spans="6:11">
      <c r="F1219" s="24"/>
      <c r="G1219" s="24"/>
      <c r="H1219" s="24"/>
      <c r="I1219" s="24"/>
      <c r="J1219" s="24"/>
      <c r="K1219" s="24"/>
    </row>
    <row r="1220" spans="6:11">
      <c r="F1220" s="24"/>
      <c r="G1220" s="24"/>
      <c r="H1220" s="24"/>
      <c r="I1220" s="24"/>
      <c r="J1220" s="24"/>
      <c r="K1220" s="24"/>
    </row>
    <row r="1221" spans="6:11">
      <c r="F1221" s="24"/>
      <c r="G1221" s="24"/>
      <c r="H1221" s="24"/>
      <c r="I1221" s="24"/>
      <c r="J1221" s="24"/>
      <c r="K1221" s="24"/>
    </row>
    <row r="1222" spans="6:11">
      <c r="F1222" s="24"/>
      <c r="G1222" s="24"/>
      <c r="H1222" s="24"/>
      <c r="I1222" s="24"/>
      <c r="J1222" s="24"/>
      <c r="K1222" s="24"/>
    </row>
    <row r="1223" spans="6:11">
      <c r="F1223" s="24"/>
      <c r="G1223" s="24"/>
      <c r="H1223" s="24"/>
      <c r="I1223" s="24"/>
      <c r="J1223" s="24"/>
      <c r="K1223" s="24"/>
    </row>
    <row r="1224" spans="6:11">
      <c r="F1224" s="24"/>
      <c r="G1224" s="24"/>
      <c r="H1224" s="24"/>
      <c r="I1224" s="24"/>
      <c r="J1224" s="24"/>
      <c r="K1224" s="24"/>
    </row>
    <row r="1225" spans="6:11">
      <c r="F1225" s="24"/>
      <c r="G1225" s="24"/>
      <c r="H1225" s="24"/>
      <c r="I1225" s="24"/>
      <c r="J1225" s="24"/>
      <c r="K1225" s="24"/>
    </row>
    <row r="1226" spans="6:11">
      <c r="F1226" s="24"/>
      <c r="G1226" s="24"/>
      <c r="H1226" s="24"/>
      <c r="I1226" s="24"/>
      <c r="J1226" s="24"/>
      <c r="K1226" s="24"/>
    </row>
    <row r="1227" spans="6:11">
      <c r="F1227" s="24"/>
      <c r="G1227" s="24"/>
      <c r="H1227" s="24"/>
      <c r="I1227" s="24"/>
      <c r="J1227" s="24"/>
      <c r="K1227" s="24"/>
    </row>
    <row r="1228" spans="6:11">
      <c r="F1228" s="24"/>
      <c r="G1228" s="24"/>
      <c r="H1228" s="24"/>
      <c r="I1228" s="24"/>
      <c r="J1228" s="24"/>
      <c r="K1228" s="24"/>
    </row>
    <row r="1229" spans="6:11">
      <c r="F1229" s="24"/>
      <c r="G1229" s="24"/>
      <c r="H1229" s="24"/>
      <c r="I1229" s="24"/>
      <c r="J1229" s="24"/>
      <c r="K1229" s="24"/>
    </row>
    <row r="1230" spans="6:11">
      <c r="F1230" s="24"/>
      <c r="G1230" s="24"/>
      <c r="H1230" s="24"/>
      <c r="I1230" s="24"/>
      <c r="J1230" s="24"/>
      <c r="K1230" s="24"/>
    </row>
    <row r="1231" spans="6:11">
      <c r="F1231" s="24"/>
      <c r="G1231" s="24"/>
      <c r="H1231" s="24"/>
      <c r="I1231" s="24"/>
      <c r="J1231" s="24"/>
      <c r="K1231" s="24"/>
    </row>
    <row r="1232" spans="6:11">
      <c r="F1232" s="24"/>
      <c r="G1232" s="24"/>
      <c r="H1232" s="24"/>
      <c r="I1232" s="24"/>
      <c r="J1232" s="24"/>
      <c r="K1232" s="24"/>
    </row>
    <row r="1233" spans="6:11">
      <c r="F1233" s="24"/>
      <c r="G1233" s="24"/>
      <c r="H1233" s="24"/>
      <c r="I1233" s="24"/>
      <c r="J1233" s="24"/>
      <c r="K1233" s="24"/>
    </row>
    <row r="1234" spans="6:11">
      <c r="F1234" s="24"/>
      <c r="G1234" s="24"/>
      <c r="H1234" s="24"/>
      <c r="I1234" s="24"/>
      <c r="J1234" s="24"/>
      <c r="K1234" s="24"/>
    </row>
    <row r="1235" spans="6:11">
      <c r="F1235" s="24"/>
      <c r="G1235" s="24"/>
      <c r="H1235" s="24"/>
      <c r="I1235" s="24"/>
      <c r="J1235" s="24"/>
      <c r="K1235" s="24"/>
    </row>
    <row r="1236" spans="6:11">
      <c r="F1236" s="24"/>
      <c r="G1236" s="24"/>
      <c r="H1236" s="24"/>
      <c r="I1236" s="24"/>
      <c r="J1236" s="24"/>
      <c r="K1236" s="24"/>
    </row>
    <row r="1237" spans="6:11">
      <c r="F1237" s="24"/>
      <c r="G1237" s="24"/>
      <c r="H1237" s="24"/>
      <c r="I1237" s="24"/>
      <c r="J1237" s="24"/>
      <c r="K1237" s="24"/>
    </row>
    <row r="1238" spans="6:11">
      <c r="F1238" s="24"/>
      <c r="G1238" s="24"/>
      <c r="H1238" s="24"/>
      <c r="I1238" s="24"/>
      <c r="J1238" s="24"/>
      <c r="K1238" s="24"/>
    </row>
    <row r="1239" spans="6:11">
      <c r="F1239" s="24"/>
      <c r="G1239" s="24"/>
      <c r="H1239" s="24"/>
      <c r="I1239" s="24"/>
      <c r="J1239" s="24"/>
      <c r="K1239" s="24"/>
    </row>
    <row r="1240" spans="6:11">
      <c r="F1240" s="24"/>
      <c r="G1240" s="24"/>
      <c r="H1240" s="24"/>
      <c r="I1240" s="24"/>
      <c r="J1240" s="24"/>
      <c r="K1240" s="24"/>
    </row>
    <row r="1241" spans="6:11">
      <c r="F1241" s="24"/>
      <c r="G1241" s="24"/>
      <c r="H1241" s="24"/>
      <c r="I1241" s="24"/>
      <c r="J1241" s="24"/>
      <c r="K1241" s="24"/>
    </row>
    <row r="1242" spans="6:11">
      <c r="F1242" s="24"/>
      <c r="G1242" s="24"/>
      <c r="H1242" s="24"/>
      <c r="I1242" s="24"/>
      <c r="J1242" s="24"/>
      <c r="K1242" s="24"/>
    </row>
    <row r="1243" spans="6:11">
      <c r="F1243" s="24"/>
      <c r="G1243" s="24"/>
      <c r="H1243" s="24"/>
      <c r="I1243" s="24"/>
      <c r="J1243" s="24"/>
      <c r="K1243" s="24"/>
    </row>
    <row r="1244" spans="6:11">
      <c r="F1244" s="24"/>
      <c r="G1244" s="24"/>
      <c r="H1244" s="24"/>
      <c r="I1244" s="24"/>
      <c r="J1244" s="24"/>
      <c r="K1244" s="24"/>
    </row>
    <row r="1245" spans="6:11">
      <c r="F1245" s="24"/>
      <c r="G1245" s="24"/>
      <c r="H1245" s="24"/>
      <c r="I1245" s="24"/>
      <c r="J1245" s="24"/>
      <c r="K1245" s="24"/>
    </row>
    <row r="1246" spans="6:11">
      <c r="F1246" s="24"/>
      <c r="G1246" s="24"/>
      <c r="H1246" s="24"/>
      <c r="I1246" s="24"/>
      <c r="J1246" s="24"/>
      <c r="K1246" s="24"/>
    </row>
    <row r="1247" spans="6:11">
      <c r="F1247" s="24"/>
      <c r="G1247" s="24"/>
      <c r="H1247" s="24"/>
      <c r="I1247" s="24"/>
      <c r="J1247" s="24"/>
      <c r="K1247" s="24"/>
    </row>
    <row r="1248" spans="6:11">
      <c r="F1248" s="24"/>
      <c r="G1248" s="24"/>
      <c r="H1248" s="24"/>
      <c r="I1248" s="24"/>
      <c r="J1248" s="24"/>
      <c r="K1248" s="24"/>
    </row>
    <row r="1249" spans="6:11">
      <c r="F1249" s="24"/>
      <c r="G1249" s="24"/>
      <c r="H1249" s="24"/>
      <c r="I1249" s="24"/>
      <c r="J1249" s="24"/>
      <c r="K1249" s="24"/>
    </row>
    <row r="1250" spans="6:11">
      <c r="F1250" s="24"/>
      <c r="G1250" s="24"/>
      <c r="H1250" s="24"/>
      <c r="I1250" s="24"/>
      <c r="J1250" s="24"/>
      <c r="K1250" s="24"/>
    </row>
    <row r="1251" spans="6:11">
      <c r="F1251" s="24"/>
      <c r="G1251" s="24"/>
      <c r="H1251" s="24"/>
      <c r="I1251" s="24"/>
      <c r="J1251" s="24"/>
      <c r="K1251" s="24"/>
    </row>
    <row r="1252" spans="6:11">
      <c r="F1252" s="24"/>
      <c r="G1252" s="24"/>
      <c r="H1252" s="24"/>
      <c r="I1252" s="24"/>
      <c r="J1252" s="24"/>
      <c r="K1252" s="24"/>
    </row>
    <row r="1253" spans="6:11">
      <c r="F1253" s="24"/>
      <c r="G1253" s="24"/>
      <c r="H1253" s="24"/>
      <c r="I1253" s="24"/>
      <c r="J1253" s="24"/>
      <c r="K1253" s="24"/>
    </row>
    <row r="1254" spans="6:11">
      <c r="F1254" s="24"/>
      <c r="G1254" s="24"/>
      <c r="H1254" s="24"/>
      <c r="I1254" s="24"/>
      <c r="J1254" s="24"/>
      <c r="K1254" s="24"/>
    </row>
    <row r="1255" spans="6:11">
      <c r="F1255" s="24"/>
      <c r="G1255" s="24"/>
      <c r="H1255" s="24"/>
      <c r="I1255" s="24"/>
      <c r="J1255" s="24"/>
      <c r="K1255" s="24"/>
    </row>
    <row r="1256" spans="6:11">
      <c r="F1256" s="24"/>
      <c r="G1256" s="24"/>
      <c r="H1256" s="24"/>
      <c r="I1256" s="24"/>
      <c r="J1256" s="24"/>
      <c r="K1256" s="24"/>
    </row>
    <row r="1257" spans="6:11">
      <c r="F1257" s="24"/>
      <c r="G1257" s="24"/>
      <c r="H1257" s="24"/>
      <c r="I1257" s="24"/>
      <c r="J1257" s="24"/>
      <c r="K1257" s="24"/>
    </row>
    <row r="1258" spans="6:11">
      <c r="F1258" s="24"/>
      <c r="G1258" s="24"/>
      <c r="H1258" s="24"/>
      <c r="I1258" s="24"/>
      <c r="J1258" s="24"/>
      <c r="K1258" s="24"/>
    </row>
    <row r="1259" spans="6:11">
      <c r="F1259" s="24"/>
      <c r="G1259" s="24"/>
      <c r="H1259" s="24"/>
      <c r="I1259" s="24"/>
      <c r="J1259" s="24"/>
      <c r="K1259" s="24"/>
    </row>
    <row r="1260" spans="6:11">
      <c r="F1260" s="24"/>
      <c r="G1260" s="24"/>
      <c r="H1260" s="24"/>
      <c r="I1260" s="24"/>
      <c r="J1260" s="24"/>
      <c r="K1260" s="24"/>
    </row>
    <row r="1261" spans="6:11">
      <c r="F1261" s="24"/>
      <c r="G1261" s="24"/>
      <c r="H1261" s="24"/>
      <c r="I1261" s="24"/>
      <c r="J1261" s="24"/>
      <c r="K1261" s="24"/>
    </row>
    <row r="1262" spans="6:11">
      <c r="F1262" s="24"/>
      <c r="G1262" s="24"/>
      <c r="H1262" s="24"/>
      <c r="I1262" s="24"/>
      <c r="J1262" s="24"/>
      <c r="K1262" s="24"/>
    </row>
    <row r="1263" spans="6:11">
      <c r="F1263" s="24"/>
      <c r="G1263" s="24"/>
      <c r="H1263" s="24"/>
      <c r="I1263" s="24"/>
      <c r="J1263" s="24"/>
      <c r="K1263" s="24"/>
    </row>
    <row r="1264" spans="6:11">
      <c r="F1264" s="24"/>
      <c r="G1264" s="24"/>
      <c r="H1264" s="24"/>
      <c r="I1264" s="24"/>
      <c r="J1264" s="24"/>
      <c r="K1264" s="24"/>
    </row>
    <row r="1265" spans="6:11">
      <c r="F1265" s="24"/>
      <c r="G1265" s="24"/>
      <c r="H1265" s="24"/>
      <c r="I1265" s="24"/>
      <c r="J1265" s="24"/>
      <c r="K1265" s="24"/>
    </row>
    <row r="1266" spans="6:11">
      <c r="F1266" s="24"/>
      <c r="G1266" s="24"/>
      <c r="H1266" s="24"/>
      <c r="I1266" s="24"/>
      <c r="J1266" s="24"/>
      <c r="K1266" s="24"/>
    </row>
    <row r="1267" spans="6:11">
      <c r="F1267" s="24"/>
      <c r="G1267" s="24"/>
      <c r="H1267" s="24"/>
      <c r="I1267" s="24"/>
      <c r="J1267" s="24"/>
      <c r="K1267" s="24"/>
    </row>
    <row r="1268" spans="6:11">
      <c r="F1268" s="24"/>
      <c r="G1268" s="24"/>
      <c r="H1268" s="24"/>
      <c r="I1268" s="24"/>
      <c r="J1268" s="24"/>
      <c r="K1268" s="24"/>
    </row>
    <row r="1269" spans="6:11">
      <c r="F1269" s="24"/>
      <c r="G1269" s="24"/>
      <c r="H1269" s="24"/>
      <c r="I1269" s="24"/>
      <c r="J1269" s="24"/>
      <c r="K1269" s="24"/>
    </row>
    <row r="1270" spans="6:11">
      <c r="F1270" s="24"/>
      <c r="G1270" s="24"/>
      <c r="H1270" s="24"/>
      <c r="I1270" s="24"/>
      <c r="J1270" s="24"/>
      <c r="K1270" s="24"/>
    </row>
    <row r="1271" spans="6:11">
      <c r="F1271" s="24"/>
      <c r="G1271" s="24"/>
      <c r="H1271" s="24"/>
      <c r="I1271" s="24"/>
      <c r="J1271" s="24"/>
      <c r="K1271" s="24"/>
    </row>
    <row r="1272" spans="6:11">
      <c r="F1272" s="24"/>
      <c r="G1272" s="24"/>
      <c r="H1272" s="24"/>
      <c r="I1272" s="24"/>
      <c r="J1272" s="24"/>
      <c r="K1272" s="24"/>
    </row>
    <row r="1273" spans="6:11">
      <c r="F1273" s="24"/>
      <c r="G1273" s="24"/>
      <c r="H1273" s="24"/>
      <c r="I1273" s="24"/>
      <c r="J1273" s="24"/>
      <c r="K1273" s="24"/>
    </row>
    <row r="1274" spans="6:11">
      <c r="F1274" s="24"/>
      <c r="G1274" s="24"/>
      <c r="H1274" s="24"/>
      <c r="I1274" s="24"/>
      <c r="J1274" s="24"/>
      <c r="K1274" s="24"/>
    </row>
    <row r="1275" spans="6:11">
      <c r="F1275" s="24"/>
      <c r="G1275" s="24"/>
      <c r="H1275" s="24"/>
      <c r="I1275" s="24"/>
      <c r="J1275" s="24"/>
      <c r="K1275" s="24"/>
    </row>
    <row r="1276" spans="6:11">
      <c r="F1276" s="24"/>
      <c r="G1276" s="24"/>
      <c r="H1276" s="24"/>
      <c r="I1276" s="24"/>
      <c r="J1276" s="24"/>
      <c r="K1276" s="24"/>
    </row>
    <row r="1277" spans="6:11">
      <c r="F1277" s="24"/>
      <c r="G1277" s="24"/>
      <c r="H1277" s="24"/>
      <c r="I1277" s="24"/>
      <c r="J1277" s="24"/>
      <c r="K1277" s="24"/>
    </row>
    <row r="1278" spans="6:11">
      <c r="F1278" s="24"/>
      <c r="G1278" s="24"/>
      <c r="H1278" s="24"/>
      <c r="I1278" s="24"/>
      <c r="J1278" s="24"/>
      <c r="K1278" s="24"/>
    </row>
    <row r="1279" spans="6:11">
      <c r="F1279" s="24"/>
      <c r="G1279" s="24"/>
      <c r="H1279" s="24"/>
      <c r="I1279" s="24"/>
      <c r="J1279" s="24"/>
      <c r="K1279" s="24"/>
    </row>
    <row r="1280" spans="6:11">
      <c r="F1280" s="24"/>
      <c r="G1280" s="24"/>
      <c r="H1280" s="24"/>
      <c r="I1280" s="24"/>
      <c r="J1280" s="24"/>
      <c r="K1280" s="24"/>
    </row>
    <row r="1281" spans="6:11">
      <c r="F1281" s="24"/>
      <c r="G1281" s="24"/>
      <c r="H1281" s="24"/>
      <c r="I1281" s="24"/>
      <c r="J1281" s="24"/>
      <c r="K1281" s="24"/>
    </row>
    <row r="1282" spans="6:11">
      <c r="F1282" s="24"/>
      <c r="G1282" s="24"/>
      <c r="H1282" s="24"/>
      <c r="I1282" s="24"/>
      <c r="J1282" s="24"/>
      <c r="K1282" s="24"/>
    </row>
    <row r="1283" spans="6:11">
      <c r="F1283" s="24"/>
      <c r="G1283" s="24"/>
      <c r="H1283" s="24"/>
      <c r="I1283" s="24"/>
      <c r="J1283" s="24"/>
      <c r="K1283" s="24"/>
    </row>
    <row r="1284" spans="6:11">
      <c r="F1284" s="24"/>
      <c r="G1284" s="24"/>
      <c r="H1284" s="24"/>
      <c r="I1284" s="24"/>
      <c r="J1284" s="24"/>
      <c r="K1284" s="24"/>
    </row>
    <row r="1285" spans="6:11">
      <c r="F1285" s="24"/>
      <c r="G1285" s="24"/>
      <c r="H1285" s="24"/>
      <c r="I1285" s="24"/>
      <c r="J1285" s="24"/>
      <c r="K1285" s="24"/>
    </row>
    <row r="1286" spans="6:11">
      <c r="F1286" s="24"/>
      <c r="G1286" s="24"/>
      <c r="H1286" s="24"/>
      <c r="I1286" s="24"/>
      <c r="J1286" s="24"/>
      <c r="K1286" s="24"/>
    </row>
    <row r="1287" spans="6:11">
      <c r="F1287" s="24"/>
      <c r="G1287" s="24"/>
      <c r="H1287" s="24"/>
      <c r="I1287" s="24"/>
      <c r="J1287" s="24"/>
      <c r="K1287" s="24"/>
    </row>
    <row r="1288" spans="6:11">
      <c r="F1288" s="24"/>
      <c r="G1288" s="24"/>
      <c r="H1288" s="24"/>
      <c r="I1288" s="24"/>
      <c r="J1288" s="24"/>
      <c r="K1288" s="24"/>
    </row>
    <row r="1289" spans="6:11">
      <c r="F1289" s="24"/>
      <c r="G1289" s="24"/>
      <c r="H1289" s="24"/>
      <c r="I1289" s="24"/>
      <c r="J1289" s="24"/>
      <c r="K1289" s="24"/>
    </row>
    <row r="1290" spans="6:11">
      <c r="F1290" s="24"/>
      <c r="G1290" s="24"/>
      <c r="H1290" s="24"/>
      <c r="I1290" s="24"/>
      <c r="J1290" s="24"/>
      <c r="K1290" s="24"/>
    </row>
    <row r="1291" spans="6:11">
      <c r="F1291" s="24"/>
      <c r="G1291" s="24"/>
      <c r="H1291" s="24"/>
      <c r="I1291" s="24"/>
      <c r="J1291" s="24"/>
      <c r="K1291" s="24"/>
    </row>
    <row r="1292" spans="6:11">
      <c r="F1292" s="24"/>
      <c r="G1292" s="24"/>
      <c r="H1292" s="24"/>
      <c r="I1292" s="24"/>
      <c r="J1292" s="24"/>
      <c r="K1292" s="24"/>
    </row>
    <row r="1293" spans="6:11">
      <c r="F1293" s="24"/>
      <c r="G1293" s="24"/>
      <c r="H1293" s="24"/>
      <c r="I1293" s="24"/>
      <c r="J1293" s="24"/>
      <c r="K1293" s="24"/>
    </row>
    <row r="1294" spans="6:11">
      <c r="F1294" s="24"/>
      <c r="G1294" s="24"/>
      <c r="H1294" s="24"/>
      <c r="I1294" s="24"/>
      <c r="J1294" s="24"/>
      <c r="K1294" s="24"/>
    </row>
    <row r="1295" spans="6:11">
      <c r="F1295" s="24"/>
      <c r="G1295" s="24"/>
      <c r="H1295" s="24"/>
      <c r="I1295" s="24"/>
      <c r="J1295" s="24"/>
      <c r="K1295" s="24"/>
    </row>
    <row r="1296" spans="6:11">
      <c r="F1296" s="24"/>
      <c r="G1296" s="24"/>
      <c r="H1296" s="24"/>
      <c r="I1296" s="24"/>
      <c r="J1296" s="24"/>
      <c r="K1296" s="24"/>
    </row>
    <row r="1297" spans="6:11">
      <c r="F1297" s="24"/>
      <c r="G1297" s="24"/>
      <c r="H1297" s="24"/>
      <c r="I1297" s="24"/>
      <c r="J1297" s="24"/>
      <c r="K1297" s="24"/>
    </row>
    <row r="1298" spans="6:11">
      <c r="F1298" s="24"/>
      <c r="G1298" s="24"/>
      <c r="H1298" s="24"/>
      <c r="I1298" s="24"/>
      <c r="J1298" s="24"/>
      <c r="K1298" s="24"/>
    </row>
    <row r="1299" spans="6:11">
      <c r="F1299" s="24"/>
      <c r="G1299" s="24"/>
      <c r="H1299" s="24"/>
      <c r="I1299" s="24"/>
      <c r="J1299" s="24"/>
      <c r="K1299" s="24"/>
    </row>
    <row r="1300" spans="6:11">
      <c r="F1300" s="24"/>
      <c r="G1300" s="24"/>
      <c r="H1300" s="24"/>
      <c r="I1300" s="24"/>
      <c r="J1300" s="24"/>
      <c r="K1300" s="24"/>
    </row>
    <row r="1301" spans="6:11">
      <c r="F1301" s="24"/>
      <c r="G1301" s="24"/>
      <c r="H1301" s="24"/>
      <c r="I1301" s="24"/>
      <c r="J1301" s="24"/>
      <c r="K1301" s="24"/>
    </row>
    <row r="1302" spans="6:11">
      <c r="F1302" s="24"/>
      <c r="G1302" s="24"/>
      <c r="H1302" s="24"/>
      <c r="I1302" s="24"/>
      <c r="J1302" s="24"/>
      <c r="K1302" s="24"/>
    </row>
    <row r="1303" spans="6:11">
      <c r="F1303" s="24"/>
      <c r="G1303" s="24"/>
      <c r="H1303" s="24"/>
      <c r="I1303" s="24"/>
      <c r="J1303" s="24"/>
      <c r="K1303" s="24"/>
    </row>
    <row r="1304" spans="6:11">
      <c r="F1304" s="24"/>
      <c r="G1304" s="24"/>
      <c r="H1304" s="24"/>
      <c r="I1304" s="24"/>
      <c r="J1304" s="24"/>
      <c r="K1304" s="24"/>
    </row>
    <row r="1305" spans="6:11">
      <c r="F1305" s="24"/>
      <c r="G1305" s="24"/>
      <c r="H1305" s="24"/>
      <c r="I1305" s="24"/>
      <c r="J1305" s="24"/>
      <c r="K1305" s="24"/>
    </row>
    <row r="1306" spans="6:11">
      <c r="F1306" s="24"/>
      <c r="G1306" s="24"/>
      <c r="H1306" s="24"/>
      <c r="I1306" s="24"/>
      <c r="J1306" s="24"/>
      <c r="K1306" s="24"/>
    </row>
    <row r="1307" spans="6:11">
      <c r="F1307" s="24"/>
      <c r="G1307" s="24"/>
      <c r="H1307" s="24"/>
      <c r="I1307" s="24"/>
      <c r="J1307" s="24"/>
      <c r="K1307" s="24"/>
    </row>
    <row r="1308" spans="6:11">
      <c r="F1308" s="24"/>
      <c r="G1308" s="24"/>
      <c r="H1308" s="24"/>
      <c r="I1308" s="24"/>
      <c r="J1308" s="24"/>
      <c r="K1308" s="24"/>
    </row>
    <row r="1309" spans="6:11">
      <c r="F1309" s="24"/>
      <c r="G1309" s="24"/>
      <c r="H1309" s="24"/>
      <c r="I1309" s="24"/>
      <c r="J1309" s="24"/>
      <c r="K1309" s="24"/>
    </row>
    <row r="1310" spans="6:11">
      <c r="F1310" s="24"/>
      <c r="G1310" s="24"/>
      <c r="H1310" s="24"/>
      <c r="I1310" s="24"/>
      <c r="J1310" s="24"/>
      <c r="K1310" s="24"/>
    </row>
    <row r="1311" spans="6:11">
      <c r="F1311" s="24"/>
      <c r="G1311" s="24"/>
      <c r="H1311" s="24"/>
      <c r="I1311" s="24"/>
      <c r="J1311" s="24"/>
      <c r="K1311" s="24"/>
    </row>
    <row r="1312" spans="6:11">
      <c r="F1312" s="24"/>
      <c r="G1312" s="24"/>
      <c r="H1312" s="24"/>
      <c r="I1312" s="24"/>
      <c r="J1312" s="24"/>
      <c r="K1312" s="24"/>
    </row>
    <row r="1313" spans="6:11">
      <c r="F1313" s="24"/>
      <c r="G1313" s="24"/>
      <c r="H1313" s="24"/>
      <c r="I1313" s="24"/>
      <c r="J1313" s="24"/>
      <c r="K1313" s="24"/>
    </row>
    <row r="1314" spans="6:11">
      <c r="F1314" s="24"/>
      <c r="G1314" s="24"/>
      <c r="H1314" s="24"/>
      <c r="I1314" s="24"/>
      <c r="J1314" s="24"/>
      <c r="K1314" s="24"/>
    </row>
    <row r="1315" spans="6:11">
      <c r="F1315" s="24"/>
      <c r="G1315" s="24"/>
      <c r="H1315" s="24"/>
      <c r="I1315" s="24"/>
      <c r="J1315" s="24"/>
      <c r="K1315" s="24"/>
    </row>
    <row r="1316" spans="6:11">
      <c r="F1316" s="24"/>
      <c r="G1316" s="24"/>
      <c r="H1316" s="24"/>
      <c r="I1316" s="24"/>
      <c r="J1316" s="24"/>
      <c r="K1316" s="24"/>
    </row>
    <row r="1317" spans="6:11">
      <c r="F1317" s="24"/>
      <c r="G1317" s="24"/>
      <c r="H1317" s="24"/>
      <c r="I1317" s="24"/>
      <c r="J1317" s="24"/>
      <c r="K1317" s="24"/>
    </row>
    <row r="1318" spans="6:11">
      <c r="F1318" s="24"/>
      <c r="G1318" s="24"/>
      <c r="H1318" s="24"/>
      <c r="I1318" s="24"/>
      <c r="J1318" s="24"/>
      <c r="K1318" s="24"/>
    </row>
    <row r="1319" spans="6:11">
      <c r="F1319" s="24"/>
      <c r="G1319" s="24"/>
      <c r="H1319" s="24"/>
      <c r="I1319" s="24"/>
      <c r="J1319" s="24"/>
      <c r="K1319" s="24"/>
    </row>
    <row r="1320" spans="6:11">
      <c r="F1320" s="24"/>
      <c r="G1320" s="24"/>
      <c r="H1320" s="24"/>
      <c r="I1320" s="24"/>
      <c r="J1320" s="24"/>
      <c r="K1320" s="24"/>
    </row>
    <row r="1321" spans="6:11">
      <c r="F1321" s="24"/>
      <c r="G1321" s="24"/>
      <c r="H1321" s="24"/>
      <c r="I1321" s="24"/>
      <c r="J1321" s="24"/>
      <c r="K1321" s="24"/>
    </row>
    <row r="1322" spans="6:11">
      <c r="F1322" s="24"/>
      <c r="G1322" s="24"/>
      <c r="H1322" s="24"/>
      <c r="I1322" s="24"/>
      <c r="J1322" s="24"/>
      <c r="K1322" s="24"/>
    </row>
    <row r="1323" spans="6:11">
      <c r="F1323" s="24"/>
      <c r="G1323" s="24"/>
      <c r="H1323" s="24"/>
      <c r="I1323" s="24"/>
      <c r="J1323" s="24"/>
      <c r="K1323" s="24"/>
    </row>
    <row r="1324" spans="6:11">
      <c r="F1324" s="24"/>
      <c r="G1324" s="24"/>
      <c r="H1324" s="24"/>
      <c r="I1324" s="24"/>
      <c r="J1324" s="24"/>
      <c r="K1324" s="24"/>
    </row>
    <row r="1325" spans="6:11">
      <c r="F1325" s="24"/>
      <c r="G1325" s="24"/>
      <c r="H1325" s="24"/>
      <c r="I1325" s="24"/>
      <c r="J1325" s="24"/>
      <c r="K1325" s="24"/>
    </row>
    <row r="1326" spans="6:11">
      <c r="F1326" s="24"/>
      <c r="G1326" s="24"/>
      <c r="H1326" s="24"/>
      <c r="I1326" s="24"/>
      <c r="J1326" s="24"/>
      <c r="K1326" s="24"/>
    </row>
    <row r="1327" spans="6:11">
      <c r="F1327" s="24"/>
      <c r="G1327" s="24"/>
      <c r="H1327" s="24"/>
      <c r="I1327" s="24"/>
      <c r="J1327" s="24"/>
      <c r="K1327" s="24"/>
    </row>
    <row r="1328" spans="6:11">
      <c r="F1328" s="24"/>
      <c r="G1328" s="24"/>
      <c r="H1328" s="24"/>
      <c r="I1328" s="24"/>
      <c r="J1328" s="24"/>
      <c r="K1328" s="24"/>
    </row>
    <row r="1329" spans="6:11">
      <c r="F1329" s="24"/>
      <c r="G1329" s="24"/>
      <c r="H1329" s="24"/>
      <c r="I1329" s="24"/>
      <c r="J1329" s="24"/>
      <c r="K1329" s="24"/>
    </row>
    <row r="1330" spans="6:11">
      <c r="F1330" s="24"/>
      <c r="G1330" s="24"/>
      <c r="H1330" s="24"/>
      <c r="I1330" s="24"/>
      <c r="J1330" s="24"/>
      <c r="K1330" s="24"/>
    </row>
    <row r="1331" spans="6:11">
      <c r="F1331" s="24"/>
      <c r="G1331" s="24"/>
      <c r="H1331" s="24"/>
      <c r="I1331" s="24"/>
      <c r="J1331" s="24"/>
      <c r="K1331" s="24"/>
    </row>
    <row r="1332" spans="6:11">
      <c r="F1332" s="24"/>
      <c r="G1332" s="24"/>
      <c r="H1332" s="24"/>
      <c r="I1332" s="24"/>
      <c r="J1332" s="24"/>
      <c r="K1332" s="24"/>
    </row>
    <row r="1333" spans="6:11">
      <c r="F1333" s="24"/>
      <c r="G1333" s="24"/>
      <c r="H1333" s="24"/>
      <c r="I1333" s="24"/>
      <c r="J1333" s="24"/>
      <c r="K1333" s="24"/>
    </row>
    <row r="1334" spans="6:11">
      <c r="F1334" s="24"/>
      <c r="G1334" s="24"/>
      <c r="H1334" s="24"/>
      <c r="I1334" s="24"/>
      <c r="J1334" s="24"/>
      <c r="K1334" s="24"/>
    </row>
    <row r="1335" spans="6:11">
      <c r="F1335" s="24"/>
      <c r="G1335" s="24"/>
      <c r="H1335" s="24"/>
      <c r="I1335" s="24"/>
      <c r="J1335" s="24"/>
      <c r="K1335" s="24"/>
    </row>
    <row r="1336" spans="6:11">
      <c r="F1336" s="24"/>
      <c r="G1336" s="24"/>
      <c r="H1336" s="24"/>
      <c r="I1336" s="24"/>
      <c r="J1336" s="24"/>
      <c r="K1336" s="24"/>
    </row>
    <row r="1337" spans="6:11">
      <c r="F1337" s="24"/>
      <c r="G1337" s="24"/>
      <c r="H1337" s="24"/>
      <c r="I1337" s="24"/>
      <c r="J1337" s="24"/>
      <c r="K1337" s="24"/>
    </row>
    <row r="1338" spans="6:11">
      <c r="F1338" s="24"/>
      <c r="G1338" s="24"/>
      <c r="H1338" s="24"/>
      <c r="I1338" s="24"/>
      <c r="J1338" s="24"/>
      <c r="K1338" s="24"/>
    </row>
    <row r="1339" spans="6:11">
      <c r="F1339" s="24"/>
      <c r="G1339" s="24"/>
      <c r="H1339" s="24"/>
      <c r="I1339" s="24"/>
      <c r="J1339" s="24"/>
      <c r="K1339" s="24"/>
    </row>
    <row r="1340" spans="6:11">
      <c r="F1340" s="24"/>
      <c r="G1340" s="24"/>
      <c r="H1340" s="24"/>
      <c r="I1340" s="24"/>
      <c r="J1340" s="24"/>
      <c r="K1340" s="24"/>
    </row>
    <row r="1341" spans="6:11">
      <c r="F1341" s="24"/>
      <c r="G1341" s="24"/>
      <c r="H1341" s="24"/>
      <c r="I1341" s="24"/>
      <c r="J1341" s="24"/>
      <c r="K1341" s="24"/>
    </row>
    <row r="1342" spans="6:11">
      <c r="F1342" s="24"/>
      <c r="G1342" s="24"/>
      <c r="H1342" s="24"/>
      <c r="I1342" s="24"/>
      <c r="J1342" s="24"/>
      <c r="K1342" s="24"/>
    </row>
    <row r="1343" spans="6:11">
      <c r="F1343" s="24"/>
      <c r="G1343" s="24"/>
      <c r="H1343" s="24"/>
      <c r="I1343" s="24"/>
      <c r="J1343" s="24"/>
      <c r="K1343" s="24"/>
    </row>
    <row r="1344" spans="6:11">
      <c r="F1344" s="24"/>
      <c r="G1344" s="24"/>
      <c r="H1344" s="24"/>
      <c r="I1344" s="24"/>
      <c r="J1344" s="24"/>
      <c r="K1344" s="24"/>
    </row>
    <row r="1345" spans="6:11">
      <c r="F1345" s="24"/>
      <c r="G1345" s="24"/>
      <c r="H1345" s="24"/>
      <c r="I1345" s="24"/>
      <c r="J1345" s="24"/>
      <c r="K1345" s="24"/>
    </row>
    <row r="1346" spans="6:11">
      <c r="F1346" s="24"/>
      <c r="G1346" s="24"/>
      <c r="H1346" s="24"/>
      <c r="I1346" s="24"/>
      <c r="J1346" s="24"/>
      <c r="K1346" s="24"/>
    </row>
    <row r="1347" spans="6:11">
      <c r="F1347" s="24"/>
      <c r="G1347" s="24"/>
      <c r="H1347" s="24"/>
      <c r="I1347" s="24"/>
      <c r="J1347" s="24"/>
      <c r="K1347" s="24"/>
    </row>
    <row r="1348" spans="6:11">
      <c r="F1348" s="24"/>
      <c r="G1348" s="24"/>
      <c r="H1348" s="24"/>
      <c r="I1348" s="24"/>
      <c r="J1348" s="24"/>
      <c r="K1348" s="24"/>
    </row>
    <row r="1349" spans="6:11">
      <c r="F1349" s="24"/>
      <c r="G1349" s="24"/>
      <c r="H1349" s="24"/>
      <c r="I1349" s="24"/>
      <c r="J1349" s="24"/>
      <c r="K1349" s="24"/>
    </row>
    <row r="1350" spans="6:11">
      <c r="F1350" s="24"/>
      <c r="G1350" s="24"/>
      <c r="H1350" s="24"/>
      <c r="I1350" s="24"/>
      <c r="J1350" s="24"/>
      <c r="K1350" s="24"/>
    </row>
    <row r="1351" spans="6:11">
      <c r="F1351" s="24"/>
      <c r="G1351" s="24"/>
      <c r="H1351" s="24"/>
      <c r="I1351" s="24"/>
      <c r="J1351" s="24"/>
      <c r="K1351" s="24"/>
    </row>
    <row r="1352" spans="6:11">
      <c r="F1352" s="24"/>
      <c r="G1352" s="24"/>
      <c r="H1352" s="24"/>
      <c r="I1352" s="24"/>
      <c r="J1352" s="24"/>
      <c r="K1352" s="24"/>
    </row>
    <row r="1353" spans="6:11">
      <c r="F1353" s="24"/>
      <c r="G1353" s="24"/>
      <c r="H1353" s="24"/>
      <c r="I1353" s="24"/>
      <c r="J1353" s="24"/>
      <c r="K1353" s="24"/>
    </row>
    <row r="1354" spans="6:11">
      <c r="F1354" s="24"/>
      <c r="G1354" s="24"/>
      <c r="H1354" s="24"/>
      <c r="I1354" s="24"/>
      <c r="J1354" s="24"/>
      <c r="K1354" s="24"/>
    </row>
    <row r="1355" spans="6:11">
      <c r="F1355" s="24"/>
      <c r="G1355" s="24"/>
      <c r="H1355" s="24"/>
      <c r="I1355" s="24"/>
      <c r="J1355" s="24"/>
      <c r="K1355" s="24"/>
    </row>
    <row r="1356" spans="6:11">
      <c r="F1356" s="24"/>
      <c r="G1356" s="24"/>
      <c r="H1356" s="24"/>
      <c r="I1356" s="24"/>
      <c r="J1356" s="24"/>
      <c r="K1356" s="24"/>
    </row>
    <row r="1357" spans="6:11">
      <c r="F1357" s="24"/>
      <c r="G1357" s="24"/>
      <c r="H1357" s="24"/>
      <c r="I1357" s="24"/>
      <c r="J1357" s="24"/>
      <c r="K1357" s="24"/>
    </row>
    <row r="1358" spans="6:11">
      <c r="F1358" s="24"/>
      <c r="G1358" s="24"/>
      <c r="H1358" s="24"/>
      <c r="I1358" s="24"/>
      <c r="J1358" s="24"/>
      <c r="K1358" s="24"/>
    </row>
    <row r="1359" spans="6:11">
      <c r="F1359" s="24"/>
      <c r="G1359" s="24"/>
      <c r="H1359" s="24"/>
      <c r="I1359" s="24"/>
      <c r="J1359" s="24"/>
      <c r="K1359" s="24"/>
    </row>
    <row r="1360" spans="6:11">
      <c r="F1360" s="24"/>
      <c r="G1360" s="24"/>
      <c r="H1360" s="24"/>
      <c r="I1360" s="24"/>
      <c r="J1360" s="24"/>
      <c r="K1360" s="24"/>
    </row>
    <row r="1361" spans="6:11">
      <c r="F1361" s="24"/>
      <c r="G1361" s="24"/>
      <c r="H1361" s="24"/>
      <c r="I1361" s="24"/>
      <c r="J1361" s="24"/>
      <c r="K1361" s="24"/>
    </row>
    <row r="1362" spans="6:11">
      <c r="F1362" s="24"/>
      <c r="G1362" s="24"/>
      <c r="H1362" s="24"/>
      <c r="I1362" s="24"/>
      <c r="J1362" s="24"/>
      <c r="K1362" s="24"/>
    </row>
    <row r="1363" spans="6:11">
      <c r="F1363" s="24"/>
      <c r="G1363" s="24"/>
      <c r="H1363" s="24"/>
      <c r="I1363" s="24"/>
      <c r="J1363" s="24"/>
      <c r="K1363" s="24"/>
    </row>
    <row r="1364" spans="6:11">
      <c r="F1364" s="24"/>
      <c r="G1364" s="24"/>
      <c r="H1364" s="24"/>
      <c r="I1364" s="24"/>
      <c r="J1364" s="24"/>
      <c r="K1364" s="24"/>
    </row>
    <row r="1365" spans="6:11">
      <c r="F1365" s="24"/>
      <c r="G1365" s="24"/>
      <c r="H1365" s="24"/>
      <c r="I1365" s="24"/>
      <c r="J1365" s="24"/>
      <c r="K1365" s="24"/>
    </row>
    <row r="1366" spans="6:11">
      <c r="F1366" s="24"/>
      <c r="G1366" s="24"/>
      <c r="H1366" s="24"/>
      <c r="I1366" s="24"/>
      <c r="J1366" s="24"/>
      <c r="K1366" s="24"/>
    </row>
    <row r="1367" spans="6:11">
      <c r="F1367" s="24"/>
      <c r="G1367" s="24"/>
      <c r="H1367" s="24"/>
      <c r="I1367" s="24"/>
      <c r="J1367" s="24"/>
      <c r="K1367" s="24"/>
    </row>
    <row r="1368" spans="6:11">
      <c r="F1368" s="24"/>
      <c r="G1368" s="24"/>
      <c r="H1368" s="24"/>
      <c r="I1368" s="24"/>
      <c r="J1368" s="24"/>
      <c r="K1368" s="24"/>
    </row>
    <row r="1369" spans="6:11">
      <c r="F1369" s="24"/>
      <c r="G1369" s="24"/>
      <c r="H1369" s="24"/>
      <c r="I1369" s="24"/>
      <c r="J1369" s="24"/>
      <c r="K1369" s="24"/>
    </row>
    <row r="1370" spans="6:11">
      <c r="F1370" s="24"/>
      <c r="G1370" s="24"/>
      <c r="H1370" s="24"/>
      <c r="I1370" s="24"/>
      <c r="J1370" s="24"/>
      <c r="K1370" s="24"/>
    </row>
    <row r="1371" spans="6:11">
      <c r="F1371" s="24"/>
      <c r="G1371" s="24"/>
      <c r="H1371" s="24"/>
      <c r="I1371" s="24"/>
      <c r="J1371" s="24"/>
      <c r="K1371" s="24"/>
    </row>
    <row r="1372" spans="6:11">
      <c r="F1372" s="24"/>
      <c r="G1372" s="24"/>
      <c r="H1372" s="24"/>
      <c r="I1372" s="24"/>
      <c r="J1372" s="24"/>
      <c r="K1372" s="24"/>
    </row>
    <row r="1373" spans="6:11">
      <c r="F1373" s="24"/>
      <c r="G1373" s="24"/>
      <c r="H1373" s="24"/>
      <c r="I1373" s="24"/>
      <c r="J1373" s="24"/>
      <c r="K1373" s="24"/>
    </row>
    <row r="1374" spans="6:11">
      <c r="F1374" s="24"/>
      <c r="G1374" s="24"/>
      <c r="H1374" s="24"/>
      <c r="I1374" s="24"/>
      <c r="J1374" s="24"/>
      <c r="K1374" s="24"/>
    </row>
    <row r="1375" spans="6:11">
      <c r="F1375" s="24"/>
      <c r="G1375" s="24"/>
      <c r="H1375" s="24"/>
      <c r="I1375" s="24"/>
      <c r="J1375" s="24"/>
      <c r="K1375" s="24"/>
    </row>
    <row r="1376" spans="6:11">
      <c r="F1376" s="24"/>
      <c r="G1376" s="24"/>
      <c r="H1376" s="24"/>
      <c r="I1376" s="24"/>
      <c r="J1376" s="24"/>
      <c r="K1376" s="24"/>
    </row>
    <row r="1377" spans="6:11">
      <c r="F1377" s="24"/>
      <c r="G1377" s="24"/>
      <c r="H1377" s="24"/>
      <c r="I1377" s="24"/>
      <c r="J1377" s="24"/>
      <c r="K1377" s="24"/>
    </row>
    <row r="1378" spans="6:11">
      <c r="F1378" s="24"/>
      <c r="G1378" s="24"/>
      <c r="H1378" s="24"/>
      <c r="I1378" s="24"/>
      <c r="J1378" s="24"/>
      <c r="K1378" s="24"/>
    </row>
    <row r="1379" spans="6:11">
      <c r="F1379" s="24"/>
      <c r="G1379" s="24"/>
      <c r="H1379" s="24"/>
      <c r="I1379" s="24"/>
      <c r="J1379" s="24"/>
      <c r="K1379" s="24"/>
    </row>
    <row r="1380" spans="6:11">
      <c r="F1380" s="24"/>
      <c r="G1380" s="24"/>
      <c r="H1380" s="24"/>
      <c r="I1380" s="24"/>
      <c r="J1380" s="24"/>
      <c r="K1380" s="24"/>
    </row>
    <row r="1381" spans="6:11">
      <c r="F1381" s="24"/>
      <c r="G1381" s="24"/>
      <c r="H1381" s="24"/>
      <c r="I1381" s="24"/>
      <c r="J1381" s="24"/>
      <c r="K1381" s="24"/>
    </row>
    <row r="1382" spans="6:11">
      <c r="F1382" s="24"/>
      <c r="G1382" s="24"/>
      <c r="H1382" s="24"/>
      <c r="I1382" s="24"/>
      <c r="J1382" s="24"/>
      <c r="K1382" s="24"/>
    </row>
    <row r="1383" spans="6:11">
      <c r="F1383" s="24"/>
      <c r="G1383" s="24"/>
      <c r="H1383" s="24"/>
      <c r="I1383" s="24"/>
      <c r="J1383" s="24"/>
      <c r="K1383" s="24"/>
    </row>
    <row r="1384" spans="6:11">
      <c r="F1384" s="24"/>
      <c r="G1384" s="24"/>
      <c r="H1384" s="24"/>
      <c r="I1384" s="24"/>
      <c r="J1384" s="24"/>
      <c r="K1384" s="24"/>
    </row>
    <row r="1385" spans="6:11">
      <c r="F1385" s="24"/>
      <c r="G1385" s="24"/>
      <c r="H1385" s="24"/>
      <c r="I1385" s="24"/>
      <c r="J1385" s="24"/>
      <c r="K1385" s="24"/>
    </row>
    <row r="1386" spans="6:11">
      <c r="F1386" s="24"/>
      <c r="G1386" s="24"/>
      <c r="H1386" s="24"/>
      <c r="I1386" s="24"/>
      <c r="J1386" s="24"/>
      <c r="K1386" s="24"/>
    </row>
    <row r="1387" spans="6:11">
      <c r="F1387" s="24"/>
      <c r="G1387" s="24"/>
      <c r="H1387" s="24"/>
      <c r="I1387" s="24"/>
      <c r="J1387" s="24"/>
      <c r="K1387" s="24"/>
    </row>
    <row r="1388" spans="6:11">
      <c r="F1388" s="24"/>
      <c r="G1388" s="24"/>
      <c r="H1388" s="24"/>
      <c r="I1388" s="24"/>
      <c r="J1388" s="24"/>
      <c r="K1388" s="24"/>
    </row>
    <row r="1389" spans="6:11">
      <c r="F1389" s="24"/>
      <c r="G1389" s="24"/>
      <c r="H1389" s="24"/>
      <c r="I1389" s="24"/>
      <c r="J1389" s="24"/>
      <c r="K1389" s="24"/>
    </row>
    <row r="1390" spans="6:11">
      <c r="F1390" s="24"/>
      <c r="G1390" s="24"/>
      <c r="H1390" s="24"/>
      <c r="I1390" s="24"/>
      <c r="J1390" s="24"/>
      <c r="K1390" s="24"/>
    </row>
    <row r="1391" spans="6:11">
      <c r="F1391" s="24"/>
      <c r="G1391" s="24"/>
      <c r="H1391" s="24"/>
      <c r="I1391" s="24"/>
      <c r="J1391" s="24"/>
      <c r="K1391" s="24"/>
    </row>
    <row r="1392" spans="6:11">
      <c r="F1392" s="24"/>
      <c r="G1392" s="24"/>
      <c r="H1392" s="24"/>
      <c r="I1392" s="24"/>
      <c r="J1392" s="24"/>
      <c r="K1392" s="24"/>
    </row>
    <row r="1393" spans="6:11">
      <c r="F1393" s="24"/>
      <c r="G1393" s="24"/>
      <c r="H1393" s="24"/>
      <c r="I1393" s="24"/>
      <c r="J1393" s="24"/>
      <c r="K1393" s="24"/>
    </row>
    <row r="1394" spans="6:11">
      <c r="F1394" s="24"/>
      <c r="G1394" s="24"/>
      <c r="H1394" s="24"/>
      <c r="I1394" s="24"/>
      <c r="J1394" s="24"/>
      <c r="K1394" s="24"/>
    </row>
    <row r="1395" spans="6:11">
      <c r="F1395" s="24"/>
      <c r="G1395" s="24"/>
      <c r="H1395" s="24"/>
      <c r="I1395" s="24"/>
      <c r="J1395" s="24"/>
      <c r="K1395" s="24"/>
    </row>
    <row r="1396" spans="6:11">
      <c r="F1396" s="24"/>
      <c r="G1396" s="24"/>
      <c r="H1396" s="24"/>
      <c r="I1396" s="24"/>
      <c r="J1396" s="24"/>
      <c r="K1396" s="24"/>
    </row>
    <row r="1397" spans="6:11">
      <c r="F1397" s="24"/>
      <c r="G1397" s="24"/>
      <c r="H1397" s="24"/>
      <c r="I1397" s="24"/>
      <c r="J1397" s="24"/>
      <c r="K1397" s="24"/>
    </row>
    <row r="1398" spans="6:11">
      <c r="F1398" s="24"/>
      <c r="G1398" s="24"/>
      <c r="H1398" s="24"/>
      <c r="I1398" s="24"/>
      <c r="J1398" s="24"/>
      <c r="K1398" s="24"/>
    </row>
    <row r="1399" spans="6:11">
      <c r="F1399" s="24"/>
      <c r="G1399" s="24"/>
      <c r="H1399" s="24"/>
      <c r="I1399" s="24"/>
      <c r="J1399" s="24"/>
      <c r="K1399" s="24"/>
    </row>
    <row r="1400" spans="6:11">
      <c r="F1400" s="24"/>
      <c r="G1400" s="24"/>
      <c r="H1400" s="24"/>
      <c r="I1400" s="24"/>
      <c r="J1400" s="24"/>
      <c r="K1400" s="24"/>
    </row>
    <row r="1401" spans="6:11">
      <c r="F1401" s="24"/>
      <c r="G1401" s="24"/>
      <c r="H1401" s="24"/>
      <c r="I1401" s="24"/>
      <c r="J1401" s="24"/>
      <c r="K1401" s="24"/>
    </row>
    <row r="1402" spans="6:11">
      <c r="F1402" s="24"/>
      <c r="G1402" s="24"/>
      <c r="H1402" s="24"/>
      <c r="I1402" s="24"/>
      <c r="J1402" s="24"/>
      <c r="K1402" s="24"/>
    </row>
    <row r="1403" spans="6:11">
      <c r="F1403" s="24"/>
      <c r="G1403" s="24"/>
      <c r="H1403" s="24"/>
      <c r="I1403" s="24"/>
      <c r="J1403" s="24"/>
      <c r="K1403" s="24"/>
    </row>
    <row r="1404" spans="6:11">
      <c r="F1404" s="24"/>
      <c r="G1404" s="24"/>
      <c r="H1404" s="24"/>
      <c r="I1404" s="24"/>
      <c r="J1404" s="24"/>
      <c r="K1404" s="24"/>
    </row>
    <row r="1405" spans="6:11">
      <c r="F1405" s="24"/>
      <c r="G1405" s="24"/>
      <c r="H1405" s="24"/>
      <c r="I1405" s="24"/>
      <c r="J1405" s="24"/>
      <c r="K1405" s="24"/>
    </row>
    <row r="1406" spans="6:11">
      <c r="F1406" s="24"/>
      <c r="G1406" s="24"/>
      <c r="H1406" s="24"/>
      <c r="I1406" s="24"/>
      <c r="J1406" s="24"/>
      <c r="K1406" s="24"/>
    </row>
    <row r="1407" spans="6:11">
      <c r="F1407" s="24"/>
      <c r="G1407" s="24"/>
      <c r="H1407" s="24"/>
      <c r="I1407" s="24"/>
      <c r="J1407" s="24"/>
      <c r="K1407" s="24"/>
    </row>
    <row r="1408" spans="6:11">
      <c r="F1408" s="24"/>
      <c r="G1408" s="24"/>
      <c r="H1408" s="24"/>
      <c r="I1408" s="24"/>
      <c r="J1408" s="24"/>
      <c r="K1408" s="24"/>
    </row>
    <row r="1409" spans="6:11">
      <c r="F1409" s="24"/>
      <c r="G1409" s="24"/>
      <c r="H1409" s="24"/>
      <c r="I1409" s="24"/>
      <c r="J1409" s="24"/>
      <c r="K1409" s="24"/>
    </row>
    <row r="1410" spans="6:11">
      <c r="F1410" s="24"/>
      <c r="G1410" s="24"/>
      <c r="H1410" s="24"/>
      <c r="I1410" s="24"/>
      <c r="J1410" s="24"/>
      <c r="K1410" s="24"/>
    </row>
    <row r="1411" spans="6:11">
      <c r="F1411" s="24"/>
      <c r="G1411" s="24"/>
      <c r="H1411" s="24"/>
      <c r="I1411" s="24"/>
      <c r="J1411" s="24"/>
      <c r="K1411" s="24"/>
    </row>
    <row r="1412" spans="6:11">
      <c r="F1412" s="24"/>
      <c r="G1412" s="24"/>
      <c r="H1412" s="24"/>
      <c r="I1412" s="24"/>
      <c r="J1412" s="24"/>
      <c r="K1412" s="24"/>
    </row>
    <row r="1413" spans="6:11">
      <c r="F1413" s="24"/>
      <c r="G1413" s="24"/>
      <c r="H1413" s="24"/>
      <c r="I1413" s="24"/>
      <c r="J1413" s="24"/>
      <c r="K1413" s="24"/>
    </row>
    <row r="1414" spans="6:11">
      <c r="F1414" s="24"/>
      <c r="G1414" s="24"/>
      <c r="H1414" s="24"/>
      <c r="I1414" s="24"/>
      <c r="J1414" s="24"/>
      <c r="K1414" s="24"/>
    </row>
    <row r="1415" spans="6:11">
      <c r="F1415" s="24"/>
      <c r="G1415" s="24"/>
      <c r="H1415" s="24"/>
      <c r="I1415" s="24"/>
      <c r="J1415" s="24"/>
      <c r="K1415" s="24"/>
    </row>
    <row r="1416" spans="6:11">
      <c r="F1416" s="24"/>
      <c r="G1416" s="24"/>
      <c r="H1416" s="24"/>
      <c r="I1416" s="24"/>
      <c r="J1416" s="24"/>
      <c r="K1416" s="24"/>
    </row>
    <row r="1417" spans="6:11">
      <c r="F1417" s="24"/>
      <c r="G1417" s="24"/>
      <c r="H1417" s="24"/>
      <c r="I1417" s="24"/>
      <c r="J1417" s="24"/>
      <c r="K1417" s="24"/>
    </row>
    <row r="1418" spans="6:11">
      <c r="F1418" s="24"/>
      <c r="G1418" s="24"/>
      <c r="H1418" s="24"/>
      <c r="I1418" s="24"/>
      <c r="J1418" s="24"/>
      <c r="K1418" s="24"/>
    </row>
    <row r="1419" spans="6:11">
      <c r="F1419" s="24"/>
      <c r="G1419" s="24"/>
      <c r="H1419" s="24"/>
      <c r="I1419" s="24"/>
      <c r="J1419" s="24"/>
      <c r="K1419" s="24"/>
    </row>
    <row r="1420" spans="6:11">
      <c r="F1420" s="24"/>
      <c r="G1420" s="24"/>
      <c r="H1420" s="24"/>
      <c r="I1420" s="24"/>
      <c r="J1420" s="24"/>
      <c r="K1420" s="24"/>
    </row>
    <row r="1421" spans="6:11">
      <c r="F1421" s="24"/>
      <c r="G1421" s="24"/>
      <c r="H1421" s="24"/>
      <c r="I1421" s="24"/>
      <c r="J1421" s="24"/>
      <c r="K1421" s="24"/>
    </row>
    <row r="1422" spans="6:11">
      <c r="F1422" s="24"/>
      <c r="G1422" s="24"/>
      <c r="H1422" s="24"/>
      <c r="I1422" s="24"/>
      <c r="J1422" s="24"/>
      <c r="K1422" s="24"/>
    </row>
    <row r="1423" spans="6:11">
      <c r="F1423" s="24"/>
      <c r="G1423" s="24"/>
      <c r="H1423" s="24"/>
      <c r="I1423" s="24"/>
      <c r="J1423" s="24"/>
      <c r="K1423" s="24"/>
    </row>
    <row r="1424" spans="6:11">
      <c r="F1424" s="24"/>
      <c r="G1424" s="24"/>
      <c r="H1424" s="24"/>
      <c r="I1424" s="24"/>
      <c r="J1424" s="24"/>
      <c r="K1424" s="24"/>
    </row>
    <row r="1425" spans="6:11">
      <c r="F1425" s="24"/>
      <c r="G1425" s="24"/>
      <c r="H1425" s="24"/>
      <c r="I1425" s="24"/>
      <c r="J1425" s="24"/>
      <c r="K1425" s="24"/>
    </row>
    <row r="1426" spans="6:11">
      <c r="F1426" s="24"/>
      <c r="G1426" s="24"/>
      <c r="H1426" s="24"/>
      <c r="I1426" s="24"/>
      <c r="J1426" s="24"/>
      <c r="K1426" s="24"/>
    </row>
    <row r="1427" spans="6:11">
      <c r="F1427" s="24"/>
      <c r="G1427" s="24"/>
      <c r="H1427" s="24"/>
      <c r="I1427" s="24"/>
      <c r="J1427" s="24"/>
      <c r="K1427" s="24"/>
    </row>
    <row r="1428" spans="6:11">
      <c r="F1428" s="24"/>
      <c r="G1428" s="24"/>
      <c r="H1428" s="24"/>
      <c r="I1428" s="24"/>
      <c r="J1428" s="24"/>
      <c r="K1428" s="24"/>
    </row>
    <row r="1429" spans="6:11">
      <c r="F1429" s="24"/>
      <c r="G1429" s="24"/>
      <c r="H1429" s="24"/>
      <c r="I1429" s="24"/>
      <c r="J1429" s="24"/>
      <c r="K1429" s="24"/>
    </row>
    <row r="1430" spans="6:11">
      <c r="F1430" s="24"/>
      <c r="G1430" s="24"/>
      <c r="H1430" s="24"/>
      <c r="I1430" s="24"/>
      <c r="J1430" s="24"/>
      <c r="K1430" s="24"/>
    </row>
    <row r="1431" spans="6:11">
      <c r="F1431" s="24"/>
      <c r="G1431" s="24"/>
      <c r="H1431" s="24"/>
      <c r="I1431" s="24"/>
      <c r="J1431" s="24"/>
      <c r="K1431" s="24"/>
    </row>
    <row r="1432" spans="6:11">
      <c r="F1432" s="24"/>
      <c r="G1432" s="24"/>
      <c r="H1432" s="24"/>
      <c r="I1432" s="24"/>
      <c r="J1432" s="24"/>
      <c r="K1432" s="24"/>
    </row>
    <row r="1433" spans="6:11">
      <c r="F1433" s="24"/>
      <c r="G1433" s="24"/>
      <c r="H1433" s="24"/>
      <c r="I1433" s="24"/>
      <c r="J1433" s="24"/>
      <c r="K1433" s="24"/>
    </row>
    <row r="1434" spans="6:11">
      <c r="F1434" s="24"/>
      <c r="G1434" s="24"/>
      <c r="H1434" s="24"/>
      <c r="I1434" s="24"/>
      <c r="J1434" s="24"/>
      <c r="K1434" s="24"/>
    </row>
    <row r="1435" spans="6:11">
      <c r="F1435" s="24"/>
      <c r="G1435" s="24"/>
      <c r="H1435" s="24"/>
      <c r="I1435" s="24"/>
      <c r="J1435" s="24"/>
      <c r="K1435" s="24"/>
    </row>
    <row r="1436" spans="6:11">
      <c r="F1436" s="24"/>
      <c r="G1436" s="24"/>
      <c r="H1436" s="24"/>
      <c r="I1436" s="24"/>
      <c r="J1436" s="24"/>
      <c r="K1436" s="24"/>
    </row>
    <row r="1437" spans="6:11">
      <c r="F1437" s="24"/>
      <c r="G1437" s="24"/>
      <c r="H1437" s="24"/>
      <c r="I1437" s="24"/>
      <c r="J1437" s="24"/>
      <c r="K1437" s="24"/>
    </row>
    <row r="1438" spans="6:11">
      <c r="F1438" s="24"/>
      <c r="G1438" s="24"/>
      <c r="H1438" s="24"/>
      <c r="I1438" s="24"/>
      <c r="J1438" s="24"/>
      <c r="K1438" s="24"/>
    </row>
    <row r="1439" spans="6:11">
      <c r="F1439" s="24"/>
      <c r="G1439" s="24"/>
      <c r="H1439" s="24"/>
      <c r="I1439" s="24"/>
      <c r="J1439" s="24"/>
      <c r="K1439" s="24"/>
    </row>
    <row r="1440" spans="6:11">
      <c r="F1440" s="24"/>
      <c r="G1440" s="24"/>
      <c r="H1440" s="24"/>
      <c r="I1440" s="24"/>
      <c r="J1440" s="24"/>
      <c r="K1440" s="24"/>
    </row>
    <row r="1441" spans="6:11">
      <c r="F1441" s="24"/>
      <c r="G1441" s="24"/>
      <c r="H1441" s="24"/>
      <c r="I1441" s="24"/>
      <c r="J1441" s="24"/>
      <c r="K1441" s="24"/>
    </row>
    <row r="1442" spans="6:11">
      <c r="F1442" s="24"/>
      <c r="G1442" s="24"/>
      <c r="H1442" s="24"/>
      <c r="I1442" s="24"/>
      <c r="J1442" s="24"/>
      <c r="K1442" s="24"/>
    </row>
    <row r="1443" spans="6:11">
      <c r="F1443" s="24"/>
      <c r="G1443" s="24"/>
      <c r="H1443" s="24"/>
      <c r="I1443" s="24"/>
      <c r="J1443" s="24"/>
      <c r="K1443" s="24"/>
    </row>
    <row r="1444" spans="6:11">
      <c r="F1444" s="24"/>
      <c r="G1444" s="24"/>
      <c r="H1444" s="24"/>
      <c r="I1444" s="24"/>
      <c r="J1444" s="24"/>
      <c r="K1444" s="24"/>
    </row>
    <row r="1445" spans="6:11">
      <c r="F1445" s="24"/>
      <c r="G1445" s="24"/>
      <c r="H1445" s="24"/>
      <c r="I1445" s="24"/>
      <c r="J1445" s="24"/>
      <c r="K1445" s="24"/>
    </row>
    <row r="1446" spans="6:11">
      <c r="F1446" s="24"/>
      <c r="G1446" s="24"/>
      <c r="H1446" s="24"/>
      <c r="I1446" s="24"/>
      <c r="J1446" s="24"/>
      <c r="K1446" s="24"/>
    </row>
    <row r="1447" spans="6:11">
      <c r="F1447" s="24"/>
      <c r="G1447" s="24"/>
      <c r="H1447" s="24"/>
      <c r="I1447" s="24"/>
      <c r="J1447" s="24"/>
      <c r="K1447" s="24"/>
    </row>
    <row r="1448" spans="6:11">
      <c r="F1448" s="24"/>
      <c r="G1448" s="24"/>
      <c r="H1448" s="24"/>
      <c r="I1448" s="24"/>
      <c r="J1448" s="24"/>
      <c r="K1448" s="24"/>
    </row>
    <row r="1449" spans="6:11">
      <c r="F1449" s="24"/>
      <c r="G1449" s="24"/>
      <c r="H1449" s="24"/>
      <c r="I1449" s="24"/>
      <c r="J1449" s="24"/>
      <c r="K1449" s="24"/>
    </row>
    <row r="1450" spans="6:11">
      <c r="F1450" s="24"/>
      <c r="G1450" s="24"/>
      <c r="H1450" s="24"/>
      <c r="I1450" s="24"/>
      <c r="J1450" s="24"/>
      <c r="K1450" s="24"/>
    </row>
    <row r="1451" spans="6:11">
      <c r="F1451" s="24"/>
      <c r="G1451" s="24"/>
      <c r="H1451" s="24"/>
      <c r="I1451" s="24"/>
      <c r="J1451" s="24"/>
      <c r="K1451" s="24"/>
    </row>
    <row r="1452" spans="6:11">
      <c r="F1452" s="24"/>
      <c r="G1452" s="24"/>
      <c r="H1452" s="24"/>
      <c r="I1452" s="24"/>
      <c r="J1452" s="24"/>
      <c r="K1452" s="24"/>
    </row>
    <row r="1453" spans="6:11">
      <c r="F1453" s="24"/>
      <c r="G1453" s="24"/>
      <c r="H1453" s="24"/>
      <c r="I1453" s="24"/>
      <c r="J1453" s="24"/>
      <c r="K1453" s="24"/>
    </row>
    <row r="1454" spans="6:11">
      <c r="F1454" s="24"/>
      <c r="G1454" s="24"/>
      <c r="H1454" s="24"/>
      <c r="I1454" s="24"/>
      <c r="J1454" s="24"/>
      <c r="K1454" s="24"/>
    </row>
    <row r="1455" spans="6:11">
      <c r="F1455" s="24"/>
      <c r="G1455" s="24"/>
      <c r="H1455" s="24"/>
      <c r="I1455" s="24"/>
      <c r="J1455" s="24"/>
      <c r="K1455" s="24"/>
    </row>
    <row r="1456" spans="6:11">
      <c r="F1456" s="24"/>
      <c r="G1456" s="24"/>
      <c r="H1456" s="24"/>
      <c r="I1456" s="24"/>
      <c r="J1456" s="24"/>
      <c r="K1456" s="24"/>
    </row>
    <row r="1457" spans="6:11">
      <c r="F1457" s="24"/>
      <c r="G1457" s="24"/>
      <c r="H1457" s="24"/>
      <c r="I1457" s="24"/>
      <c r="J1457" s="24"/>
      <c r="K1457" s="24"/>
    </row>
    <row r="1458" spans="6:11">
      <c r="F1458" s="24"/>
      <c r="G1458" s="24"/>
      <c r="H1458" s="24"/>
      <c r="I1458" s="24"/>
      <c r="J1458" s="24"/>
      <c r="K1458" s="24"/>
    </row>
    <row r="1459" spans="6:11">
      <c r="F1459" s="24"/>
      <c r="G1459" s="24"/>
      <c r="H1459" s="24"/>
      <c r="I1459" s="24"/>
      <c r="J1459" s="24"/>
      <c r="K1459" s="24"/>
    </row>
    <row r="1460" spans="6:11">
      <c r="F1460" s="24"/>
      <c r="G1460" s="24"/>
      <c r="H1460" s="24"/>
      <c r="I1460" s="24"/>
      <c r="J1460" s="24"/>
      <c r="K1460" s="24"/>
    </row>
    <row r="1461" spans="6:11">
      <c r="F1461" s="24"/>
      <c r="G1461" s="24"/>
      <c r="H1461" s="24"/>
      <c r="I1461" s="24"/>
      <c r="J1461" s="24"/>
      <c r="K1461" s="24"/>
    </row>
    <row r="1462" spans="6:11">
      <c r="F1462" s="24"/>
      <c r="G1462" s="24"/>
      <c r="H1462" s="24"/>
      <c r="I1462" s="24"/>
      <c r="J1462" s="24"/>
      <c r="K1462" s="24"/>
    </row>
    <row r="1463" spans="6:11">
      <c r="F1463" s="24"/>
      <c r="G1463" s="24"/>
      <c r="H1463" s="24"/>
      <c r="I1463" s="24"/>
      <c r="J1463" s="24"/>
      <c r="K1463" s="24"/>
    </row>
    <row r="1464" spans="6:11">
      <c r="F1464" s="24"/>
      <c r="G1464" s="24"/>
      <c r="H1464" s="24"/>
      <c r="I1464" s="24"/>
      <c r="J1464" s="24"/>
      <c r="K1464" s="24"/>
    </row>
    <row r="1465" spans="6:11">
      <c r="F1465" s="24"/>
      <c r="G1465" s="24"/>
      <c r="H1465" s="24"/>
      <c r="I1465" s="24"/>
      <c r="J1465" s="24"/>
      <c r="K1465" s="24"/>
    </row>
    <row r="1466" spans="6:11">
      <c r="F1466" s="24"/>
      <c r="G1466" s="24"/>
      <c r="H1466" s="24"/>
      <c r="I1466" s="24"/>
      <c r="J1466" s="24"/>
      <c r="K1466" s="24"/>
    </row>
    <row r="1467" spans="6:11">
      <c r="F1467" s="24"/>
      <c r="G1467" s="24"/>
      <c r="H1467" s="24"/>
      <c r="I1467" s="24"/>
      <c r="J1467" s="24"/>
      <c r="K1467" s="24"/>
    </row>
    <row r="1468" spans="6:11">
      <c r="F1468" s="24"/>
      <c r="G1468" s="24"/>
      <c r="H1468" s="24"/>
      <c r="I1468" s="24"/>
      <c r="J1468" s="24"/>
      <c r="K1468" s="24"/>
    </row>
    <row r="1469" spans="6:11">
      <c r="F1469" s="24"/>
      <c r="G1469" s="24"/>
      <c r="H1469" s="24"/>
      <c r="I1469" s="24"/>
      <c r="J1469" s="24"/>
      <c r="K1469" s="24"/>
    </row>
    <row r="1470" spans="6:11">
      <c r="F1470" s="24"/>
      <c r="G1470" s="24"/>
      <c r="H1470" s="24"/>
      <c r="I1470" s="24"/>
      <c r="J1470" s="24"/>
      <c r="K1470" s="24"/>
    </row>
    <row r="1471" spans="6:11">
      <c r="F1471" s="24"/>
      <c r="G1471" s="24"/>
      <c r="H1471" s="24"/>
      <c r="I1471" s="24"/>
      <c r="J1471" s="24"/>
      <c r="K1471" s="24"/>
    </row>
    <row r="1472" spans="6:11">
      <c r="F1472" s="24"/>
      <c r="G1472" s="24"/>
      <c r="H1472" s="24"/>
      <c r="I1472" s="24"/>
      <c r="J1472" s="24"/>
      <c r="K1472" s="24"/>
    </row>
    <row r="1473" spans="6:11">
      <c r="F1473" s="24"/>
      <c r="G1473" s="24"/>
      <c r="H1473" s="24"/>
      <c r="I1473" s="24"/>
      <c r="J1473" s="24"/>
      <c r="K1473" s="24"/>
    </row>
    <row r="1474" spans="6:11">
      <c r="F1474" s="24"/>
      <c r="G1474" s="24"/>
      <c r="H1474" s="24"/>
      <c r="I1474" s="24"/>
      <c r="J1474" s="24"/>
      <c r="K1474" s="24"/>
    </row>
    <row r="1475" spans="6:11">
      <c r="F1475" s="24"/>
      <c r="G1475" s="24"/>
      <c r="H1475" s="24"/>
      <c r="I1475" s="24"/>
      <c r="J1475" s="24"/>
      <c r="K1475" s="24"/>
    </row>
    <row r="1476" spans="6:11">
      <c r="F1476" s="24"/>
      <c r="G1476" s="24"/>
      <c r="H1476" s="24"/>
      <c r="I1476" s="24"/>
      <c r="J1476" s="24"/>
      <c r="K1476" s="24"/>
    </row>
    <row r="1477" spans="6:11">
      <c r="F1477" s="24"/>
      <c r="G1477" s="24"/>
      <c r="H1477" s="24"/>
      <c r="I1477" s="24"/>
      <c r="J1477" s="24"/>
      <c r="K1477" s="24"/>
    </row>
    <row r="1478" spans="6:11">
      <c r="F1478" s="24"/>
      <c r="G1478" s="24"/>
      <c r="H1478" s="24"/>
      <c r="I1478" s="24"/>
      <c r="J1478" s="24"/>
      <c r="K1478" s="24"/>
    </row>
    <row r="1479" spans="6:11">
      <c r="F1479" s="24"/>
      <c r="G1479" s="24"/>
      <c r="H1479" s="24"/>
      <c r="I1479" s="24"/>
      <c r="J1479" s="24"/>
      <c r="K1479" s="24"/>
    </row>
    <row r="1480" spans="6:11">
      <c r="F1480" s="24"/>
      <c r="G1480" s="24"/>
      <c r="H1480" s="24"/>
      <c r="I1480" s="24"/>
      <c r="J1480" s="24"/>
      <c r="K1480" s="24"/>
    </row>
    <row r="1481" spans="6:11">
      <c r="F1481" s="24"/>
      <c r="G1481" s="24"/>
      <c r="H1481" s="24"/>
      <c r="I1481" s="24"/>
      <c r="J1481" s="24"/>
      <c r="K1481" s="24"/>
    </row>
    <row r="1482" spans="6:11">
      <c r="F1482" s="24"/>
      <c r="G1482" s="24"/>
      <c r="H1482" s="24"/>
      <c r="I1482" s="24"/>
      <c r="J1482" s="24"/>
      <c r="K1482" s="24"/>
    </row>
    <row r="1483" spans="6:11">
      <c r="F1483" s="24"/>
      <c r="G1483" s="24"/>
      <c r="H1483" s="24"/>
      <c r="I1483" s="24"/>
      <c r="J1483" s="24"/>
      <c r="K1483" s="24"/>
    </row>
    <row r="1484" spans="6:11">
      <c r="F1484" s="24"/>
      <c r="G1484" s="24"/>
      <c r="H1484" s="24"/>
      <c r="I1484" s="24"/>
      <c r="J1484" s="24"/>
      <c r="K1484" s="24"/>
    </row>
    <row r="1485" spans="6:11">
      <c r="F1485" s="24"/>
      <c r="G1485" s="24"/>
      <c r="H1485" s="24"/>
      <c r="I1485" s="24"/>
      <c r="J1485" s="24"/>
      <c r="K1485" s="24"/>
    </row>
    <row r="1486" spans="6:11">
      <c r="F1486" s="24"/>
      <c r="G1486" s="24"/>
      <c r="H1486" s="24"/>
      <c r="I1486" s="24"/>
      <c r="J1486" s="24"/>
      <c r="K1486" s="24"/>
    </row>
    <row r="1487" spans="6:11">
      <c r="F1487" s="24"/>
      <c r="G1487" s="24"/>
      <c r="H1487" s="24"/>
      <c r="I1487" s="24"/>
      <c r="J1487" s="24"/>
      <c r="K1487" s="24"/>
    </row>
    <row r="1488" spans="6:11">
      <c r="F1488" s="24"/>
      <c r="G1488" s="24"/>
      <c r="H1488" s="24"/>
      <c r="I1488" s="24"/>
      <c r="J1488" s="24"/>
      <c r="K1488" s="24"/>
    </row>
    <row r="1489" spans="6:11">
      <c r="F1489" s="24"/>
      <c r="G1489" s="24"/>
      <c r="H1489" s="24"/>
      <c r="I1489" s="24"/>
      <c r="J1489" s="24"/>
      <c r="K1489" s="24"/>
    </row>
    <row r="1490" spans="6:11">
      <c r="F1490" s="24"/>
      <c r="G1490" s="24"/>
      <c r="H1490" s="24"/>
      <c r="I1490" s="24"/>
      <c r="J1490" s="24"/>
      <c r="K1490" s="24"/>
    </row>
    <row r="1491" spans="6:11">
      <c r="F1491" s="24"/>
      <c r="G1491" s="24"/>
      <c r="H1491" s="24"/>
      <c r="I1491" s="24"/>
      <c r="J1491" s="24"/>
      <c r="K1491" s="24"/>
    </row>
    <row r="1492" spans="6:11">
      <c r="F1492" s="24"/>
      <c r="G1492" s="24"/>
      <c r="H1492" s="24"/>
      <c r="I1492" s="24"/>
      <c r="J1492" s="24"/>
      <c r="K1492" s="24"/>
    </row>
    <row r="1493" spans="6:11">
      <c r="F1493" s="24"/>
      <c r="G1493" s="24"/>
      <c r="H1493" s="24"/>
      <c r="I1493" s="24"/>
      <c r="J1493" s="24"/>
      <c r="K1493" s="24"/>
    </row>
    <row r="1494" spans="6:11">
      <c r="F1494" s="24"/>
      <c r="G1494" s="24"/>
      <c r="H1494" s="24"/>
      <c r="I1494" s="24"/>
      <c r="J1494" s="24"/>
      <c r="K1494" s="24"/>
    </row>
    <row r="1495" spans="6:11">
      <c r="F1495" s="24"/>
      <c r="G1495" s="24"/>
      <c r="H1495" s="24"/>
      <c r="I1495" s="24"/>
      <c r="J1495" s="24"/>
      <c r="K1495" s="24"/>
    </row>
    <row r="1496" spans="6:11">
      <c r="F1496" s="24"/>
      <c r="G1496" s="24"/>
      <c r="H1496" s="24"/>
      <c r="I1496" s="24"/>
      <c r="J1496" s="24"/>
      <c r="K1496" s="24"/>
    </row>
    <row r="1497" spans="6:11">
      <c r="F1497" s="24"/>
      <c r="G1497" s="24"/>
      <c r="H1497" s="24"/>
      <c r="I1497" s="24"/>
      <c r="J1497" s="24"/>
      <c r="K1497" s="24"/>
    </row>
    <row r="1498" spans="6:11">
      <c r="F1498" s="24"/>
      <c r="G1498" s="24"/>
      <c r="H1498" s="24"/>
      <c r="I1498" s="24"/>
      <c r="J1498" s="24"/>
      <c r="K1498" s="24"/>
    </row>
    <row r="1499" spans="6:11">
      <c r="F1499" s="24"/>
      <c r="G1499" s="24"/>
      <c r="H1499" s="24"/>
      <c r="I1499" s="24"/>
      <c r="J1499" s="24"/>
      <c r="K1499" s="24"/>
    </row>
    <row r="1500" spans="6:11">
      <c r="F1500" s="24"/>
      <c r="G1500" s="24"/>
      <c r="H1500" s="24"/>
      <c r="I1500" s="24"/>
      <c r="J1500" s="24"/>
      <c r="K1500" s="24"/>
    </row>
    <row r="1501" spans="6:11">
      <c r="F1501" s="24"/>
      <c r="G1501" s="24"/>
      <c r="H1501" s="24"/>
      <c r="I1501" s="24"/>
      <c r="J1501" s="24"/>
      <c r="K1501" s="24"/>
    </row>
    <row r="1502" spans="6:11">
      <c r="F1502" s="24"/>
      <c r="G1502" s="24"/>
      <c r="H1502" s="24"/>
      <c r="I1502" s="24"/>
      <c r="J1502" s="24"/>
      <c r="K1502" s="24"/>
    </row>
    <row r="1503" spans="6:11">
      <c r="F1503" s="24"/>
      <c r="G1503" s="24"/>
      <c r="H1503" s="24"/>
      <c r="I1503" s="24"/>
      <c r="J1503" s="24"/>
      <c r="K1503" s="24"/>
    </row>
    <row r="1504" spans="6:11">
      <c r="F1504" s="24"/>
      <c r="G1504" s="24"/>
      <c r="H1504" s="24"/>
      <c r="I1504" s="24"/>
      <c r="J1504" s="24"/>
      <c r="K1504" s="24"/>
    </row>
    <row r="1505" spans="6:11">
      <c r="F1505" s="24"/>
      <c r="G1505" s="24"/>
      <c r="H1505" s="24"/>
      <c r="I1505" s="24"/>
      <c r="J1505" s="24"/>
      <c r="K1505" s="24"/>
    </row>
    <row r="1506" spans="6:11">
      <c r="F1506" s="24"/>
      <c r="G1506" s="24"/>
      <c r="H1506" s="24"/>
      <c r="I1506" s="24"/>
      <c r="J1506" s="24"/>
      <c r="K1506" s="24"/>
    </row>
    <row r="1507" spans="6:11">
      <c r="F1507" s="24"/>
      <c r="G1507" s="24"/>
      <c r="H1507" s="24"/>
      <c r="I1507" s="24"/>
      <c r="J1507" s="24"/>
      <c r="K1507" s="24"/>
    </row>
    <row r="1508" spans="6:11">
      <c r="F1508" s="24"/>
      <c r="G1508" s="24"/>
      <c r="H1508" s="24"/>
      <c r="I1508" s="24"/>
      <c r="J1508" s="24"/>
      <c r="K1508" s="24"/>
    </row>
    <row r="1509" spans="6:11">
      <c r="F1509" s="24"/>
      <c r="G1509" s="24"/>
      <c r="H1509" s="24"/>
      <c r="I1509" s="24"/>
      <c r="J1509" s="24"/>
      <c r="K1509" s="24"/>
    </row>
    <row r="1510" spans="6:11">
      <c r="F1510" s="24"/>
      <c r="G1510" s="24"/>
      <c r="H1510" s="24"/>
      <c r="I1510" s="24"/>
      <c r="J1510" s="24"/>
      <c r="K1510" s="24"/>
    </row>
    <row r="1511" spans="6:11">
      <c r="F1511" s="24"/>
      <c r="G1511" s="24"/>
      <c r="H1511" s="24"/>
      <c r="I1511" s="24"/>
      <c r="J1511" s="24"/>
      <c r="K1511" s="24"/>
    </row>
    <row r="1512" spans="6:11">
      <c r="F1512" s="24"/>
      <c r="G1512" s="24"/>
      <c r="H1512" s="24"/>
      <c r="I1512" s="24"/>
      <c r="J1512" s="24"/>
      <c r="K1512" s="24"/>
    </row>
    <row r="1513" spans="6:11">
      <c r="F1513" s="24"/>
      <c r="G1513" s="24"/>
      <c r="H1513" s="24"/>
      <c r="I1513" s="24"/>
      <c r="J1513" s="24"/>
      <c r="K1513" s="24"/>
    </row>
    <row r="1514" spans="6:11">
      <c r="F1514" s="24"/>
      <c r="G1514" s="24"/>
      <c r="H1514" s="24"/>
      <c r="I1514" s="24"/>
      <c r="J1514" s="24"/>
      <c r="K1514" s="24"/>
    </row>
    <row r="1515" spans="6:11">
      <c r="F1515" s="24"/>
      <c r="G1515" s="24"/>
      <c r="H1515" s="24"/>
      <c r="I1515" s="24"/>
      <c r="J1515" s="24"/>
      <c r="K1515" s="24"/>
    </row>
    <row r="1516" spans="6:11">
      <c r="F1516" s="24"/>
      <c r="G1516" s="24"/>
      <c r="H1516" s="24"/>
      <c r="I1516" s="24"/>
      <c r="J1516" s="24"/>
      <c r="K1516" s="24"/>
    </row>
    <row r="1517" spans="6:11">
      <c r="F1517" s="24"/>
      <c r="G1517" s="24"/>
      <c r="H1517" s="24"/>
      <c r="I1517" s="24"/>
      <c r="J1517" s="24"/>
      <c r="K1517" s="24"/>
    </row>
    <row r="1518" spans="6:11">
      <c r="F1518" s="24"/>
      <c r="G1518" s="24"/>
      <c r="H1518" s="24"/>
      <c r="I1518" s="24"/>
      <c r="J1518" s="24"/>
      <c r="K1518" s="24"/>
    </row>
    <row r="1519" spans="6:11">
      <c r="F1519" s="24"/>
      <c r="G1519" s="24"/>
      <c r="H1519" s="24"/>
      <c r="I1519" s="24"/>
      <c r="J1519" s="24"/>
      <c r="K1519" s="24"/>
    </row>
    <row r="1520" spans="6:11">
      <c r="F1520" s="24"/>
      <c r="G1520" s="24"/>
      <c r="H1520" s="24"/>
      <c r="I1520" s="24"/>
      <c r="J1520" s="24"/>
      <c r="K1520" s="24"/>
    </row>
    <row r="1521" spans="6:11">
      <c r="F1521" s="24"/>
      <c r="G1521" s="24"/>
      <c r="H1521" s="24"/>
      <c r="I1521" s="24"/>
      <c r="J1521" s="24"/>
      <c r="K1521" s="24"/>
    </row>
    <row r="1522" spans="6:11">
      <c r="F1522" s="24"/>
      <c r="G1522" s="24"/>
      <c r="H1522" s="24"/>
      <c r="I1522" s="24"/>
      <c r="J1522" s="24"/>
      <c r="K1522" s="24"/>
    </row>
    <row r="1523" spans="6:11">
      <c r="F1523" s="24"/>
      <c r="G1523" s="24"/>
      <c r="H1523" s="24"/>
      <c r="I1523" s="24"/>
      <c r="J1523" s="24"/>
      <c r="K1523" s="24"/>
    </row>
    <row r="1524" spans="6:11">
      <c r="F1524" s="24"/>
      <c r="G1524" s="24"/>
      <c r="H1524" s="24"/>
      <c r="I1524" s="24"/>
      <c r="J1524" s="24"/>
      <c r="K1524" s="24"/>
    </row>
    <row r="1525" spans="6:11">
      <c r="F1525" s="24"/>
      <c r="G1525" s="24"/>
      <c r="H1525" s="24"/>
      <c r="I1525" s="24"/>
      <c r="J1525" s="24"/>
      <c r="K1525" s="24"/>
    </row>
    <row r="1526" spans="6:11">
      <c r="F1526" s="24"/>
      <c r="G1526" s="24"/>
      <c r="H1526" s="24"/>
      <c r="I1526" s="24"/>
      <c r="J1526" s="24"/>
      <c r="K1526" s="24"/>
    </row>
    <row r="1527" spans="6:11">
      <c r="F1527" s="24"/>
      <c r="G1527" s="24"/>
      <c r="H1527" s="24"/>
      <c r="I1527" s="24"/>
      <c r="J1527" s="24"/>
      <c r="K1527" s="24"/>
    </row>
    <row r="1528" spans="6:11">
      <c r="F1528" s="24"/>
      <c r="G1528" s="24"/>
      <c r="H1528" s="24"/>
      <c r="I1528" s="24"/>
      <c r="J1528" s="24"/>
      <c r="K1528" s="24"/>
    </row>
    <row r="1529" spans="6:11">
      <c r="F1529" s="24"/>
      <c r="G1529" s="24"/>
      <c r="H1529" s="24"/>
      <c r="I1529" s="24"/>
      <c r="J1529" s="24"/>
      <c r="K1529" s="24"/>
    </row>
    <row r="1530" spans="6:11">
      <c r="F1530" s="24"/>
      <c r="G1530" s="24"/>
      <c r="H1530" s="24"/>
      <c r="I1530" s="24"/>
      <c r="J1530" s="24"/>
      <c r="K1530" s="24"/>
    </row>
    <row r="1531" spans="6:11">
      <c r="F1531" s="24"/>
      <c r="G1531" s="24"/>
      <c r="H1531" s="24"/>
      <c r="I1531" s="24"/>
      <c r="J1531" s="24"/>
      <c r="K1531" s="24"/>
    </row>
    <row r="1532" spans="6:11">
      <c r="F1532" s="24"/>
      <c r="G1532" s="24"/>
      <c r="H1532" s="24"/>
      <c r="I1532" s="24"/>
      <c r="J1532" s="24"/>
      <c r="K1532" s="24"/>
    </row>
    <row r="1533" spans="6:11">
      <c r="F1533" s="24"/>
      <c r="G1533" s="24"/>
      <c r="H1533" s="24"/>
      <c r="I1533" s="24"/>
      <c r="J1533" s="24"/>
      <c r="K1533" s="24"/>
    </row>
    <row r="1534" spans="6:11">
      <c r="F1534" s="24"/>
      <c r="G1534" s="24"/>
      <c r="H1534" s="24"/>
      <c r="I1534" s="24"/>
      <c r="J1534" s="24"/>
      <c r="K1534" s="24"/>
    </row>
    <row r="1535" spans="6:11">
      <c r="F1535" s="24"/>
      <c r="G1535" s="24"/>
      <c r="H1535" s="24"/>
      <c r="I1535" s="24"/>
      <c r="J1535" s="24"/>
      <c r="K1535" s="24"/>
    </row>
    <row r="1536" spans="6:11">
      <c r="F1536" s="24"/>
      <c r="G1536" s="24"/>
      <c r="H1536" s="24"/>
      <c r="I1536" s="24"/>
      <c r="J1536" s="24"/>
      <c r="K1536" s="24"/>
    </row>
    <row r="1537" spans="6:11">
      <c r="F1537" s="24"/>
      <c r="G1537" s="24"/>
      <c r="H1537" s="24"/>
      <c r="I1537" s="24"/>
      <c r="J1537" s="24"/>
      <c r="K1537" s="24"/>
    </row>
    <row r="1538" spans="6:11">
      <c r="F1538" s="24"/>
      <c r="G1538" s="24"/>
      <c r="H1538" s="24"/>
      <c r="I1538" s="24"/>
      <c r="J1538" s="24"/>
      <c r="K1538" s="24"/>
    </row>
    <row r="1539" spans="6:11">
      <c r="F1539" s="24"/>
      <c r="G1539" s="24"/>
      <c r="H1539" s="24"/>
      <c r="I1539" s="24"/>
      <c r="J1539" s="24"/>
      <c r="K1539" s="24"/>
    </row>
    <row r="1540" spans="6:11">
      <c r="F1540" s="24"/>
      <c r="G1540" s="24"/>
      <c r="H1540" s="24"/>
      <c r="I1540" s="24"/>
      <c r="J1540" s="24"/>
      <c r="K1540" s="24"/>
    </row>
    <row r="1541" spans="6:11">
      <c r="F1541" s="24"/>
      <c r="G1541" s="24"/>
      <c r="H1541" s="24"/>
      <c r="I1541" s="24"/>
      <c r="J1541" s="24"/>
      <c r="K1541" s="24"/>
    </row>
    <row r="1542" spans="6:11">
      <c r="F1542" s="24"/>
      <c r="G1542" s="24"/>
      <c r="H1542" s="24"/>
      <c r="I1542" s="24"/>
      <c r="J1542" s="24"/>
      <c r="K1542" s="24"/>
    </row>
    <row r="1543" spans="6:11">
      <c r="F1543" s="24"/>
      <c r="G1543" s="24"/>
      <c r="H1543" s="24"/>
      <c r="I1543" s="24"/>
      <c r="J1543" s="24"/>
      <c r="K1543" s="24"/>
    </row>
    <row r="1544" spans="6:11">
      <c r="F1544" s="24"/>
      <c r="G1544" s="24"/>
      <c r="H1544" s="24"/>
      <c r="I1544" s="24"/>
      <c r="J1544" s="24"/>
      <c r="K1544" s="24"/>
    </row>
    <row r="1545" spans="6:11">
      <c r="F1545" s="24"/>
      <c r="G1545" s="24"/>
      <c r="H1545" s="24"/>
      <c r="I1545" s="24"/>
      <c r="J1545" s="24"/>
      <c r="K1545" s="24"/>
    </row>
    <row r="1546" spans="6:11">
      <c r="F1546" s="24"/>
      <c r="G1546" s="24"/>
      <c r="H1546" s="24"/>
      <c r="I1546" s="24"/>
      <c r="J1546" s="24"/>
      <c r="K1546" s="24"/>
    </row>
    <row r="1547" spans="6:11">
      <c r="F1547" s="24"/>
      <c r="G1547" s="24"/>
      <c r="H1547" s="24"/>
      <c r="I1547" s="24"/>
      <c r="J1547" s="24"/>
      <c r="K1547" s="24"/>
    </row>
    <row r="1548" spans="6:11">
      <c r="F1548" s="24"/>
      <c r="G1548" s="24"/>
      <c r="H1548" s="24"/>
      <c r="I1548" s="24"/>
      <c r="J1548" s="24"/>
      <c r="K1548" s="24"/>
    </row>
    <row r="1549" spans="6:11">
      <c r="F1549" s="24"/>
      <c r="G1549" s="24"/>
      <c r="H1549" s="24"/>
      <c r="I1549" s="24"/>
      <c r="J1549" s="24"/>
      <c r="K1549" s="24"/>
    </row>
    <row r="1550" spans="6:11">
      <c r="F1550" s="24"/>
      <c r="G1550" s="24"/>
      <c r="H1550" s="24"/>
      <c r="I1550" s="24"/>
      <c r="J1550" s="24"/>
      <c r="K1550" s="24"/>
    </row>
    <row r="1551" spans="6:11">
      <c r="F1551" s="24"/>
      <c r="G1551" s="24"/>
      <c r="H1551" s="24"/>
      <c r="I1551" s="24"/>
      <c r="J1551" s="24"/>
      <c r="K1551" s="24"/>
    </row>
    <row r="1552" spans="6:11">
      <c r="F1552" s="24"/>
      <c r="G1552" s="24"/>
      <c r="H1552" s="24"/>
      <c r="I1552" s="24"/>
      <c r="J1552" s="24"/>
      <c r="K1552" s="24"/>
    </row>
    <row r="1553" spans="6:11">
      <c r="F1553" s="24"/>
      <c r="G1553" s="24"/>
      <c r="H1553" s="24"/>
      <c r="I1553" s="24"/>
      <c r="J1553" s="24"/>
      <c r="K1553" s="24"/>
    </row>
    <row r="1554" spans="6:11">
      <c r="F1554" s="24"/>
      <c r="G1554" s="24"/>
      <c r="H1554" s="24"/>
      <c r="I1554" s="24"/>
      <c r="J1554" s="24"/>
      <c r="K1554" s="24"/>
    </row>
    <row r="1555" spans="6:11">
      <c r="F1555" s="24"/>
      <c r="G1555" s="24"/>
      <c r="H1555" s="24"/>
      <c r="I1555" s="24"/>
      <c r="J1555" s="24"/>
      <c r="K1555" s="24"/>
    </row>
    <row r="1556" spans="6:11">
      <c r="F1556" s="24"/>
      <c r="G1556" s="24"/>
      <c r="H1556" s="24"/>
      <c r="I1556" s="24"/>
      <c r="J1556" s="24"/>
      <c r="K1556" s="24"/>
    </row>
    <row r="1557" spans="6:11">
      <c r="F1557" s="24"/>
      <c r="G1557" s="24"/>
      <c r="H1557" s="24"/>
      <c r="I1557" s="24"/>
      <c r="J1557" s="24"/>
      <c r="K1557" s="24"/>
    </row>
    <row r="1558" spans="6:11">
      <c r="F1558" s="24"/>
      <c r="G1558" s="24"/>
      <c r="H1558" s="24"/>
      <c r="I1558" s="24"/>
      <c r="J1558" s="24"/>
      <c r="K1558" s="24"/>
    </row>
    <row r="1559" spans="6:11">
      <c r="F1559" s="24"/>
      <c r="G1559" s="24"/>
      <c r="H1559" s="24"/>
      <c r="I1559" s="24"/>
      <c r="J1559" s="24"/>
      <c r="K1559" s="24"/>
    </row>
    <row r="1560" spans="6:11">
      <c r="F1560" s="24"/>
      <c r="G1560" s="24"/>
      <c r="H1560" s="24"/>
      <c r="I1560" s="24"/>
      <c r="J1560" s="24"/>
      <c r="K1560" s="24"/>
    </row>
    <row r="1561" spans="6:11">
      <c r="F1561" s="24"/>
      <c r="G1561" s="24"/>
      <c r="H1561" s="24"/>
      <c r="I1561" s="24"/>
      <c r="J1561" s="24"/>
      <c r="K1561" s="24"/>
    </row>
    <row r="1562" spans="6:11">
      <c r="F1562" s="24"/>
      <c r="G1562" s="24"/>
      <c r="H1562" s="24"/>
      <c r="I1562" s="24"/>
      <c r="J1562" s="24"/>
      <c r="K1562" s="24"/>
    </row>
    <row r="1563" spans="6:11">
      <c r="F1563" s="24"/>
      <c r="G1563" s="24"/>
      <c r="H1563" s="24"/>
      <c r="I1563" s="24"/>
      <c r="J1563" s="24"/>
      <c r="K1563" s="24"/>
    </row>
    <row r="1564" spans="6:11">
      <c r="F1564" s="24"/>
      <c r="G1564" s="24"/>
      <c r="H1564" s="24"/>
      <c r="I1564" s="24"/>
      <c r="J1564" s="24"/>
      <c r="K1564" s="24"/>
    </row>
    <row r="1565" spans="6:11">
      <c r="F1565" s="24"/>
      <c r="G1565" s="24"/>
      <c r="H1565" s="24"/>
      <c r="I1565" s="24"/>
      <c r="J1565" s="24"/>
      <c r="K1565" s="24"/>
    </row>
    <row r="1566" spans="6:11">
      <c r="F1566" s="24"/>
      <c r="G1566" s="24"/>
      <c r="H1566" s="24"/>
      <c r="I1566" s="24"/>
      <c r="J1566" s="24"/>
      <c r="K1566" s="24"/>
    </row>
    <row r="1567" spans="6:11">
      <c r="F1567" s="24"/>
      <c r="G1567" s="24"/>
      <c r="H1567" s="24"/>
      <c r="I1567" s="24"/>
      <c r="J1567" s="24"/>
      <c r="K1567" s="24"/>
    </row>
    <row r="1568" spans="6:11">
      <c r="F1568" s="24"/>
      <c r="G1568" s="24"/>
      <c r="H1568" s="24"/>
      <c r="I1568" s="24"/>
      <c r="J1568" s="24"/>
      <c r="K1568" s="24"/>
    </row>
    <row r="1569" spans="6:11">
      <c r="F1569" s="24"/>
      <c r="G1569" s="24"/>
      <c r="H1569" s="24"/>
      <c r="I1569" s="24"/>
      <c r="J1569" s="24"/>
      <c r="K1569" s="24"/>
    </row>
    <row r="1570" spans="6:11">
      <c r="F1570" s="24"/>
      <c r="G1570" s="24"/>
      <c r="H1570" s="24"/>
      <c r="I1570" s="24"/>
      <c r="J1570" s="24"/>
      <c r="K1570" s="24"/>
    </row>
    <row r="1571" spans="6:11">
      <c r="F1571" s="24"/>
      <c r="G1571" s="24"/>
      <c r="H1571" s="24"/>
      <c r="I1571" s="24"/>
      <c r="J1571" s="24"/>
      <c r="K1571" s="24"/>
    </row>
    <row r="1572" spans="6:11">
      <c r="F1572" s="24"/>
      <c r="G1572" s="24"/>
      <c r="H1572" s="24"/>
      <c r="I1572" s="24"/>
      <c r="J1572" s="24"/>
      <c r="K1572" s="24"/>
    </row>
    <row r="1573" spans="6:11">
      <c r="F1573" s="24"/>
      <c r="G1573" s="24"/>
      <c r="H1573" s="24"/>
      <c r="I1573" s="24"/>
      <c r="J1573" s="24"/>
      <c r="K1573" s="24"/>
    </row>
    <row r="1574" spans="6:11">
      <c r="F1574" s="24"/>
      <c r="G1574" s="24"/>
      <c r="H1574" s="24"/>
      <c r="I1574" s="24"/>
      <c r="J1574" s="24"/>
      <c r="K1574" s="24"/>
    </row>
    <row r="1575" spans="6:11">
      <c r="F1575" s="24"/>
      <c r="G1575" s="24"/>
      <c r="H1575" s="24"/>
      <c r="I1575" s="24"/>
      <c r="J1575" s="24"/>
      <c r="K1575" s="24"/>
    </row>
    <row r="1576" spans="6:11">
      <c r="F1576" s="24"/>
      <c r="G1576" s="24"/>
      <c r="H1576" s="24"/>
      <c r="I1576" s="24"/>
      <c r="J1576" s="24"/>
      <c r="K1576" s="24"/>
    </row>
    <row r="1577" spans="6:11">
      <c r="F1577" s="24"/>
      <c r="G1577" s="24"/>
      <c r="H1577" s="24"/>
      <c r="I1577" s="24"/>
      <c r="J1577" s="24"/>
      <c r="K1577" s="24"/>
    </row>
    <row r="1578" spans="6:11">
      <c r="F1578" s="24"/>
      <c r="G1578" s="24"/>
      <c r="H1578" s="24"/>
      <c r="I1578" s="24"/>
      <c r="J1578" s="24"/>
      <c r="K1578" s="24"/>
    </row>
    <row r="1579" spans="6:11">
      <c r="F1579" s="24"/>
      <c r="G1579" s="24"/>
      <c r="H1579" s="24"/>
      <c r="I1579" s="24"/>
      <c r="J1579" s="24"/>
      <c r="K1579" s="24"/>
    </row>
    <row r="1580" spans="6:11">
      <c r="F1580" s="24"/>
      <c r="G1580" s="24"/>
      <c r="H1580" s="24"/>
      <c r="I1580" s="24"/>
      <c r="J1580" s="24"/>
      <c r="K1580" s="24"/>
    </row>
    <row r="1581" spans="6:11">
      <c r="F1581" s="24"/>
      <c r="G1581" s="24"/>
      <c r="H1581" s="24"/>
      <c r="I1581" s="24"/>
      <c r="J1581" s="24"/>
      <c r="K1581" s="24"/>
    </row>
    <row r="1582" spans="6:11">
      <c r="F1582" s="24"/>
      <c r="G1582" s="24"/>
      <c r="H1582" s="24"/>
      <c r="I1582" s="24"/>
      <c r="J1582" s="24"/>
      <c r="K1582" s="24"/>
    </row>
    <row r="1583" spans="6:11">
      <c r="F1583" s="24"/>
      <c r="G1583" s="24"/>
      <c r="H1583" s="24"/>
      <c r="I1583" s="24"/>
      <c r="J1583" s="24"/>
      <c r="K1583" s="24"/>
    </row>
    <row r="1584" spans="6:11">
      <c r="F1584" s="24"/>
      <c r="G1584" s="24"/>
      <c r="H1584" s="24"/>
      <c r="I1584" s="24"/>
      <c r="J1584" s="24"/>
      <c r="K1584" s="24"/>
    </row>
    <row r="1585" spans="6:11">
      <c r="F1585" s="24"/>
      <c r="G1585" s="24"/>
      <c r="H1585" s="24"/>
      <c r="I1585" s="24"/>
      <c r="J1585" s="24"/>
      <c r="K1585" s="24"/>
    </row>
    <row r="1586" spans="6:11">
      <c r="F1586" s="24"/>
      <c r="G1586" s="24"/>
      <c r="H1586" s="24"/>
      <c r="I1586" s="24"/>
      <c r="J1586" s="24"/>
      <c r="K1586" s="24"/>
    </row>
    <row r="1587" spans="6:11">
      <c r="F1587" s="24"/>
      <c r="G1587" s="24"/>
      <c r="H1587" s="24"/>
      <c r="I1587" s="24"/>
      <c r="J1587" s="24"/>
      <c r="K1587" s="24"/>
    </row>
    <row r="1588" spans="6:11">
      <c r="F1588" s="24"/>
      <c r="G1588" s="24"/>
      <c r="H1588" s="24"/>
      <c r="I1588" s="24"/>
      <c r="J1588" s="24"/>
      <c r="K1588" s="24"/>
    </row>
    <row r="1589" spans="6:11">
      <c r="F1589" s="24"/>
      <c r="G1589" s="24"/>
      <c r="H1589" s="24"/>
      <c r="I1589" s="24"/>
      <c r="J1589" s="24"/>
      <c r="K1589" s="24"/>
    </row>
    <row r="1590" spans="6:11">
      <c r="F1590" s="24"/>
      <c r="G1590" s="24"/>
      <c r="H1590" s="24"/>
      <c r="I1590" s="24"/>
      <c r="J1590" s="24"/>
      <c r="K1590" s="24"/>
    </row>
    <row r="1591" spans="6:11">
      <c r="F1591" s="24"/>
      <c r="G1591" s="24"/>
      <c r="H1591" s="24"/>
      <c r="I1591" s="24"/>
      <c r="J1591" s="24"/>
      <c r="K1591" s="24"/>
    </row>
    <row r="1592" spans="6:11">
      <c r="F1592" s="24"/>
      <c r="G1592" s="24"/>
      <c r="H1592" s="24"/>
      <c r="I1592" s="24"/>
      <c r="J1592" s="24"/>
      <c r="K1592" s="24"/>
    </row>
    <row r="1593" spans="6:11">
      <c r="F1593" s="24"/>
      <c r="G1593" s="24"/>
      <c r="H1593" s="24"/>
      <c r="I1593" s="24"/>
      <c r="J1593" s="24"/>
      <c r="K1593" s="24"/>
    </row>
    <row r="1594" spans="6:11">
      <c r="F1594" s="24"/>
      <c r="G1594" s="24"/>
      <c r="H1594" s="24"/>
      <c r="I1594" s="24"/>
      <c r="J1594" s="24"/>
      <c r="K1594" s="24"/>
    </row>
    <row r="1595" spans="6:11">
      <c r="F1595" s="24"/>
      <c r="G1595" s="24"/>
      <c r="H1595" s="24"/>
      <c r="I1595" s="24"/>
      <c r="J1595" s="24"/>
      <c r="K1595" s="24"/>
    </row>
    <row r="1596" spans="6:11">
      <c r="F1596" s="24"/>
      <c r="G1596" s="24"/>
      <c r="H1596" s="24"/>
      <c r="I1596" s="24"/>
      <c r="J1596" s="24"/>
      <c r="K1596" s="24"/>
    </row>
    <row r="1597" spans="6:11">
      <c r="F1597" s="24"/>
      <c r="G1597" s="24"/>
      <c r="H1597" s="24"/>
      <c r="I1597" s="24"/>
      <c r="J1597" s="24"/>
      <c r="K1597" s="24"/>
    </row>
    <row r="1598" spans="6:11">
      <c r="F1598" s="24"/>
      <c r="G1598" s="24"/>
      <c r="H1598" s="24"/>
      <c r="I1598" s="24"/>
      <c r="J1598" s="24"/>
      <c r="K1598" s="24"/>
    </row>
    <row r="1599" spans="6:11">
      <c r="F1599" s="24"/>
      <c r="G1599" s="24"/>
      <c r="H1599" s="24"/>
      <c r="I1599" s="24"/>
      <c r="J1599" s="24"/>
      <c r="K1599" s="24"/>
    </row>
    <row r="1600" spans="6:11">
      <c r="F1600" s="24"/>
      <c r="G1600" s="24"/>
      <c r="H1600" s="24"/>
      <c r="I1600" s="24"/>
      <c r="J1600" s="24"/>
      <c r="K1600" s="24"/>
    </row>
  </sheetData>
  <sheetProtection selectLockedCells="1"/>
  <mergeCells count="15">
    <mergeCell ref="D3:K4"/>
    <mergeCell ref="K12:L12"/>
    <mergeCell ref="K13:L13"/>
    <mergeCell ref="B14:L14"/>
    <mergeCell ref="B8:J8"/>
    <mergeCell ref="B5:J5"/>
    <mergeCell ref="B6:J6"/>
    <mergeCell ref="B7:J7"/>
    <mergeCell ref="K5:L5"/>
    <mergeCell ref="K6:L6"/>
    <mergeCell ref="K7:L7"/>
    <mergeCell ref="D9:L9"/>
    <mergeCell ref="B9:C9"/>
    <mergeCell ref="B10:C11"/>
    <mergeCell ref="D10:L11"/>
  </mergeCells>
  <conditionalFormatting sqref="G16:G21 G23:G233">
    <cfRule type="cellIs" dxfId="2" priority="4" operator="greaterThan">
      <formula>12</formula>
    </cfRule>
  </conditionalFormatting>
  <conditionalFormatting sqref="G22">
    <cfRule type="cellIs" dxfId="1" priority="3" operator="greaterThan">
      <formula>12</formula>
    </cfRule>
  </conditionalFormatting>
  <conditionalFormatting sqref="G234:G587">
    <cfRule type="cellIs" dxfId="0" priority="2" operator="greaterThan">
      <formula>12</formula>
    </cfRule>
  </conditionalFormatting>
  <printOptions horizontalCentered="1"/>
  <pageMargins left="0.7" right="0.7" top="0.75" bottom="0.75" header="0.3" footer="0.3"/>
  <pageSetup paperSize="9" scale="51" fitToHeight="0" orientation="portrait" useFirstPageNumber="1" horizontalDpi="4294967295" verticalDpi="4294967295" r:id="rId1"/>
  <headerFooter>
    <oddFooter>&amp;LFile name : &amp;F&amp;Rpage &amp;P of &amp;N</oddFooter>
  </headerFooter>
  <rowBreaks count="1" manualBreakCount="1">
    <brk id="13" max="16383" man="1"/>
  </rowBreaks>
  <colBreaks count="1" manualBreakCount="1"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leteAllShapes">
                <anchor moveWithCells="1" sizeWithCells="1">
                  <from>
                    <xdr:col>19</xdr:col>
                    <xdr:colOff>9525</xdr:colOff>
                    <xdr:row>7</xdr:row>
                    <xdr:rowOff>19050</xdr:rowOff>
                  </from>
                  <to>
                    <xdr:col>22</xdr:col>
                    <xdr:colOff>9525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DrawAllShapes">
                <anchor moveWithCells="1" sizeWithCells="1">
                  <from>
                    <xdr:col>19</xdr:col>
                    <xdr:colOff>9525</xdr:colOff>
                    <xdr:row>8</xdr:row>
                    <xdr:rowOff>438150</xdr:rowOff>
                  </from>
                  <to>
                    <xdr:col>22</xdr:col>
                    <xdr:colOff>9525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SE-09-B2-001-A6-R00</vt:lpstr>
      <vt:lpstr>'SE-09-B2-001-A6-R00'!Print_Area</vt:lpstr>
      <vt:lpstr>'SE-09-B2-001-A6-R00'!Print_Titles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2018-12-03T14:21:00Z</dcterms:modified>
</cp:coreProperties>
</file>